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790"/>
  </bookViews>
  <sheets>
    <sheet name="Foglio1" sheetId="1" r:id="rId1"/>
    <sheet name="Foglio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B2" i="2" l="1"/>
  <c r="B3" i="2"/>
  <c r="B4" i="2"/>
  <c r="B5" i="2"/>
  <c r="B6" i="2"/>
  <c r="B7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3" i="2"/>
  <c r="B34" i="2"/>
  <c r="B35" i="2"/>
  <c r="B1" i="2"/>
  <c r="E1" i="2"/>
</calcChain>
</file>

<file path=xl/sharedStrings.xml><?xml version="1.0" encoding="utf-8"?>
<sst xmlns="http://schemas.openxmlformats.org/spreadsheetml/2006/main" count="160" uniqueCount="82">
  <si>
    <t>Industrial Area Lombardia - Nord Est (IALNE)</t>
  </si>
  <si>
    <t>Brescia</t>
  </si>
  <si>
    <t>Padova</t>
  </si>
  <si>
    <t>Rodano</t>
  </si>
  <si>
    <t>Trevenzuolo</t>
  </si>
  <si>
    <t>Udine</t>
  </si>
  <si>
    <t>Industrial Area Nord Ovest (IANO)</t>
  </si>
  <si>
    <t>Busalla (GE)</t>
  </si>
  <si>
    <t>Grugliasco</t>
  </si>
  <si>
    <t>Ferrera Erbognone</t>
  </si>
  <si>
    <t>Industrial Area Centro (IACE)</t>
  </si>
  <si>
    <t>Ferrara</t>
  </si>
  <si>
    <t>Lucca</t>
  </si>
  <si>
    <t>Modena</t>
  </si>
  <si>
    <t>Porto Recanati</t>
  </si>
  <si>
    <t>Ravenna</t>
  </si>
  <si>
    <t>S. Albino</t>
  </si>
  <si>
    <t>Industrial Area Centro Sud (CS IND)</t>
  </si>
  <si>
    <t>Assemini</t>
  </si>
  <si>
    <t>Caserta</t>
  </si>
  <si>
    <t>Lanuvio</t>
  </si>
  <si>
    <t>Ostuni</t>
  </si>
  <si>
    <t>Carini</t>
  </si>
  <si>
    <t>Priolo</t>
  </si>
  <si>
    <t>Milano</t>
  </si>
  <si>
    <t>Chieve (FGT)</t>
  </si>
  <si>
    <t>Industrial Area Elettronica (IALE)</t>
  </si>
  <si>
    <t>Agrate</t>
  </si>
  <si>
    <t>Liscate</t>
  </si>
  <si>
    <t>Catania</t>
  </si>
  <si>
    <t>MOD</t>
  </si>
  <si>
    <t>Rodano MOD</t>
  </si>
  <si>
    <r>
      <t>CO</t>
    </r>
    <r>
      <rPr>
        <b/>
        <vertAlign val="subscript"/>
        <sz val="10"/>
        <rFont val="Arial"/>
        <family val="2"/>
      </rPr>
      <t>2</t>
    </r>
  </si>
  <si>
    <t>Sede</t>
  </si>
  <si>
    <t>BL - Industrial Merchant</t>
  </si>
  <si>
    <t>Castelnuovo</t>
  </si>
  <si>
    <t>Cet</t>
  </si>
  <si>
    <t>Limito</t>
  </si>
  <si>
    <t>Cargnacco - VSA</t>
  </si>
  <si>
    <t>Osoppo - VSA</t>
  </si>
  <si>
    <t>Priolo - ASU</t>
  </si>
  <si>
    <t>Priolo - SMR.IA</t>
  </si>
  <si>
    <t>Sarroch</t>
  </si>
  <si>
    <t>BL - Large Industries</t>
  </si>
  <si>
    <t>Industrial Area Continente</t>
  </si>
  <si>
    <t>Industrial Area Sicilia&amp;Sardegna</t>
  </si>
  <si>
    <t>BL - Elettronica</t>
  </si>
  <si>
    <t>BIM</t>
  </si>
  <si>
    <t>BIM;BLI</t>
  </si>
  <si>
    <t>BLI</t>
  </si>
  <si>
    <t>BEL</t>
  </si>
  <si>
    <t>BIM;BEL</t>
  </si>
  <si>
    <t>FEB</t>
  </si>
  <si>
    <t>BRE</t>
  </si>
  <si>
    <t>PAD</t>
  </si>
  <si>
    <t>ROD</t>
  </si>
  <si>
    <t>TRE</t>
  </si>
  <si>
    <t>UDI</t>
  </si>
  <si>
    <t>LIS</t>
  </si>
  <si>
    <t>BUS</t>
  </si>
  <si>
    <t>CHI</t>
  </si>
  <si>
    <t>GRU</t>
  </si>
  <si>
    <t>LUC</t>
  </si>
  <si>
    <t>POR</t>
  </si>
  <si>
    <t>RAV</t>
  </si>
  <si>
    <t>FER</t>
  </si>
  <si>
    <t>SAL</t>
  </si>
  <si>
    <t>ASS</t>
  </si>
  <si>
    <t>CAS</t>
  </si>
  <si>
    <t>LAN</t>
  </si>
  <si>
    <t>OST</t>
  </si>
  <si>
    <t>CAR</t>
  </si>
  <si>
    <t>PRI</t>
  </si>
  <si>
    <t>MIL</t>
  </si>
  <si>
    <t>CET</t>
  </si>
  <si>
    <t>LIM</t>
  </si>
  <si>
    <t>OSO</t>
  </si>
  <si>
    <t>SAR</t>
  </si>
  <si>
    <t>AGR</t>
  </si>
  <si>
    <t>CAT</t>
  </si>
  <si>
    <t>PRIASU</t>
  </si>
  <si>
    <t>PRISMR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</si>
</sst>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bscript"/>
      <sz val="10"/>
      <name val="Arial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D60093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1" fillId="0" borderId="1" xfId="1" applyFont="1" applyFill="1" applyBorder="1"/>
    <xf numFmtId="0" fontId="1" fillId="0" borderId="2" xfId="1" applyFont="1" applyFill="1" applyBorder="1"/>
    <xf numFmtId="0" fontId="1" fillId="0" borderId="3" xfId="1" applyFont="1" applyFill="1" applyBorder="1"/>
    <xf numFmtId="0" fontId="1" fillId="0" borderId="8" xfId="1" applyFont="1" applyFill="1" applyBorder="1"/>
    <xf numFmtId="0" fontId="2" fillId="0" borderId="0" xfId="1" applyFont="1" applyBorder="1" applyAlignment="1">
      <alignment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2" applyFont="1" applyFill="1" applyBorder="1" applyAlignment="1">
      <alignment vertical="center" wrapText="1"/>
    </xf>
    <xf numFmtId="0" fontId="2" fillId="0" borderId="7" xfId="2" applyFont="1" applyBorder="1" applyAlignment="1">
      <alignment horizontal="center"/>
    </xf>
    <xf numFmtId="0" fontId="1" fillId="0" borderId="1" xfId="2" applyFont="1" applyFill="1" applyBorder="1"/>
    <xf numFmtId="0" fontId="1" fillId="0" borderId="2" xfId="2" applyFont="1" applyFill="1" applyBorder="1"/>
    <xf numFmtId="0" fontId="1" fillId="0" borderId="2" xfId="2" applyFill="1" applyBorder="1" applyAlignment="1">
      <alignment horizontal="left"/>
    </xf>
    <xf numFmtId="0" fontId="1" fillId="0" borderId="2" xfId="2" applyFill="1" applyBorder="1"/>
    <xf numFmtId="0" fontId="1" fillId="0" borderId="8" xfId="2" applyFont="1" applyFill="1" applyBorder="1"/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0" borderId="0" xfId="0" applyFont="1"/>
  </cellXfs>
  <cellStyles count="3">
    <cellStyle name="Normale" xfId="0" builtinId="0"/>
    <cellStyle name="Normale 2" xfId="1"/>
    <cellStyle name="Normale 4" xfId="2"/>
  </cellStyles>
  <dxfs count="0"/>
  <tableStyles count="0" defaultTableStyle="TableStyleMedium2" defaultPivotStyle="PivotStyleLight16"/>
  <colors>
    <mruColors>
      <color rgb="FFD60093"/>
      <color rgb="FFCC33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5"/>
  <sheetViews>
    <sheetView tabSelected="1" workbookViewId="0">
      <selection activeCell="C20" sqref="C20"/>
    </sheetView>
  </sheetViews>
  <sheetFormatPr defaultRowHeight="15" x14ac:dyDescent="0.25"/>
  <cols>
    <col min="2" max="2" width="17.28515625" customWidth="1"/>
    <col min="3" max="3" width="16.42578125" bestFit="1" customWidth="1"/>
    <col min="6" max="6" width="17.7109375" customWidth="1"/>
    <col min="7" max="7" width="16.42578125" bestFit="1" customWidth="1"/>
    <col min="10" max="10" width="17.7109375" customWidth="1"/>
    <col min="11" max="11" width="11" bestFit="1" customWidth="1"/>
  </cols>
  <sheetData>
    <row r="2" spans="2:11" x14ac:dyDescent="0.25">
      <c r="B2" s="27" t="s">
        <v>34</v>
      </c>
      <c r="C2" s="27"/>
      <c r="F2" s="25" t="s">
        <v>43</v>
      </c>
      <c r="G2" s="25"/>
      <c r="J2" s="26" t="s">
        <v>46</v>
      </c>
      <c r="K2" s="26"/>
    </row>
    <row r="3" spans="2:11" ht="15.75" customHeight="1" thickBot="1" x14ac:dyDescent="0.3"/>
    <row r="4" spans="2:11" ht="15" customHeight="1" x14ac:dyDescent="0.25">
      <c r="B4" s="14" t="s">
        <v>0</v>
      </c>
      <c r="C4" s="1" t="s">
        <v>1</v>
      </c>
      <c r="F4" s="23" t="s">
        <v>44</v>
      </c>
      <c r="G4" s="9" t="s">
        <v>35</v>
      </c>
      <c r="J4" s="14" t="s">
        <v>26</v>
      </c>
      <c r="K4" s="1" t="s">
        <v>27</v>
      </c>
    </row>
    <row r="5" spans="2:11" x14ac:dyDescent="0.25">
      <c r="B5" s="15"/>
      <c r="C5" s="2" t="s">
        <v>2</v>
      </c>
      <c r="F5" s="24"/>
      <c r="G5" s="10" t="s">
        <v>36</v>
      </c>
      <c r="J5" s="15"/>
      <c r="K5" s="2" t="s">
        <v>29</v>
      </c>
    </row>
    <row r="6" spans="2:11" ht="15.75" thickBot="1" x14ac:dyDescent="0.3">
      <c r="B6" s="15"/>
      <c r="C6" s="2" t="s">
        <v>3</v>
      </c>
      <c r="F6" s="24"/>
      <c r="G6" s="10" t="s">
        <v>9</v>
      </c>
      <c r="J6" s="16"/>
      <c r="K6" s="3" t="s">
        <v>28</v>
      </c>
    </row>
    <row r="7" spans="2:11" x14ac:dyDescent="0.25">
      <c r="B7" s="15"/>
      <c r="C7" s="2" t="s">
        <v>4</v>
      </c>
      <c r="F7" s="24"/>
      <c r="G7" s="10" t="s">
        <v>37</v>
      </c>
    </row>
    <row r="8" spans="2:11" ht="15.75" thickBot="1" x14ac:dyDescent="0.3">
      <c r="B8" s="19"/>
      <c r="C8" s="3" t="s">
        <v>5</v>
      </c>
      <c r="F8" s="24"/>
      <c r="G8" s="10" t="s">
        <v>2</v>
      </c>
    </row>
    <row r="9" spans="2:11" x14ac:dyDescent="0.25">
      <c r="B9" s="14" t="s">
        <v>30</v>
      </c>
      <c r="C9" s="1" t="s">
        <v>28</v>
      </c>
      <c r="F9" s="24"/>
      <c r="G9" s="11" t="s">
        <v>38</v>
      </c>
    </row>
    <row r="10" spans="2:11" ht="15" customHeight="1" thickBot="1" x14ac:dyDescent="0.3">
      <c r="B10" s="16"/>
      <c r="C10" s="3" t="s">
        <v>31</v>
      </c>
      <c r="F10" s="24"/>
      <c r="G10" s="10" t="s">
        <v>39</v>
      </c>
    </row>
    <row r="11" spans="2:11" ht="24" customHeight="1" x14ac:dyDescent="0.25">
      <c r="B11" s="20" t="s">
        <v>6</v>
      </c>
      <c r="C11" s="1" t="s">
        <v>7</v>
      </c>
      <c r="F11" s="23" t="s">
        <v>45</v>
      </c>
      <c r="G11" s="9" t="s">
        <v>40</v>
      </c>
    </row>
    <row r="12" spans="2:11" ht="15" customHeight="1" x14ac:dyDescent="0.25">
      <c r="B12" s="21"/>
      <c r="C12" s="2" t="s">
        <v>25</v>
      </c>
      <c r="F12" s="24"/>
      <c r="G12" s="12" t="s">
        <v>41</v>
      </c>
    </row>
    <row r="13" spans="2:11" ht="15.75" thickBot="1" x14ac:dyDescent="0.3">
      <c r="B13" s="21"/>
      <c r="C13" s="2" t="s">
        <v>8</v>
      </c>
      <c r="F13" s="24"/>
      <c r="G13" s="10" t="s">
        <v>42</v>
      </c>
    </row>
    <row r="14" spans="2:11" ht="15.75" thickBot="1" x14ac:dyDescent="0.3">
      <c r="B14" s="22"/>
      <c r="C14" s="3" t="s">
        <v>9</v>
      </c>
      <c r="F14" s="8" t="s">
        <v>33</v>
      </c>
      <c r="G14" s="13" t="s">
        <v>24</v>
      </c>
    </row>
    <row r="15" spans="2:11" ht="15" customHeight="1" x14ac:dyDescent="0.25">
      <c r="B15" s="14" t="s">
        <v>10</v>
      </c>
      <c r="C15" s="1" t="s">
        <v>12</v>
      </c>
      <c r="F15" s="7"/>
      <c r="G15" s="7"/>
    </row>
    <row r="16" spans="2:11" x14ac:dyDescent="0.25">
      <c r="B16" s="15"/>
      <c r="C16" s="2" t="s">
        <v>13</v>
      </c>
    </row>
    <row r="17" spans="2:3" x14ac:dyDescent="0.25">
      <c r="B17" s="15"/>
      <c r="C17" s="2" t="s">
        <v>14</v>
      </c>
    </row>
    <row r="18" spans="2:3" ht="15" customHeight="1" thickBot="1" x14ac:dyDescent="0.3">
      <c r="B18" s="16"/>
      <c r="C18" s="3" t="s">
        <v>15</v>
      </c>
    </row>
    <row r="19" spans="2:3" x14ac:dyDescent="0.25">
      <c r="B19" s="17" t="s">
        <v>32</v>
      </c>
      <c r="C19" s="1" t="s">
        <v>11</v>
      </c>
    </row>
    <row r="20" spans="2:3" ht="15.75" thickBot="1" x14ac:dyDescent="0.3">
      <c r="B20" s="18"/>
      <c r="C20" s="3" t="s">
        <v>16</v>
      </c>
    </row>
    <row r="21" spans="2:3" x14ac:dyDescent="0.25">
      <c r="B21" s="14" t="s">
        <v>17</v>
      </c>
      <c r="C21" s="1" t="s">
        <v>18</v>
      </c>
    </row>
    <row r="22" spans="2:3" x14ac:dyDescent="0.25">
      <c r="B22" s="15"/>
      <c r="C22" s="2" t="s">
        <v>19</v>
      </c>
    </row>
    <row r="23" spans="2:3" x14ac:dyDescent="0.25">
      <c r="B23" s="15"/>
      <c r="C23" s="2" t="s">
        <v>20</v>
      </c>
    </row>
    <row r="24" spans="2:3" ht="15" customHeight="1" x14ac:dyDescent="0.25">
      <c r="B24" s="15"/>
      <c r="C24" s="2" t="s">
        <v>21</v>
      </c>
    </row>
    <row r="25" spans="2:3" x14ac:dyDescent="0.25">
      <c r="B25" s="15"/>
      <c r="C25" s="2" t="s">
        <v>22</v>
      </c>
    </row>
    <row r="26" spans="2:3" ht="15.75" thickBot="1" x14ac:dyDescent="0.3">
      <c r="B26" s="16"/>
      <c r="C26" s="2" t="s">
        <v>23</v>
      </c>
    </row>
    <row r="27" spans="2:3" ht="15.75" thickBot="1" x14ac:dyDescent="0.3">
      <c r="B27" s="6" t="s">
        <v>33</v>
      </c>
      <c r="C27" s="4" t="s">
        <v>24</v>
      </c>
    </row>
    <row r="31" spans="2:3" x14ac:dyDescent="0.25">
      <c r="B31" s="5"/>
    </row>
    <row r="32" spans="2:3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</sheetData>
  <mergeCells count="12">
    <mergeCell ref="F11:F13"/>
    <mergeCell ref="F2:G2"/>
    <mergeCell ref="J2:K2"/>
    <mergeCell ref="J4:J6"/>
    <mergeCell ref="B2:C2"/>
    <mergeCell ref="F4:F10"/>
    <mergeCell ref="B15:B18"/>
    <mergeCell ref="B19:B20"/>
    <mergeCell ref="B21:B26"/>
    <mergeCell ref="B4:B8"/>
    <mergeCell ref="B9:B10"/>
    <mergeCell ref="B11:B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" sqref="E1:E35"/>
    </sheetView>
  </sheetViews>
  <sheetFormatPr defaultRowHeight="15" x14ac:dyDescent="0.25"/>
  <cols>
    <col min="1" max="1" width="11.140625" bestFit="1" customWidth="1"/>
    <col min="2" max="3" width="11.140625" customWidth="1"/>
    <col min="4" max="4" width="16.42578125" bestFit="1" customWidth="1"/>
    <col min="5" max="5" width="9.7109375" bestFit="1" customWidth="1"/>
  </cols>
  <sheetData>
    <row r="1" spans="1:5" x14ac:dyDescent="0.25">
      <c r="A1" t="s">
        <v>47</v>
      </c>
      <c r="B1" t="str">
        <f>UPPER(MID(SUBSTITUTE(D1,". ",""),1,3))</f>
        <v>BRE</v>
      </c>
      <c r="C1" t="s">
        <v>53</v>
      </c>
      <c r="D1" s="1" t="s">
        <v>1</v>
      </c>
      <c r="E1" t="str">
        <f>CONCATENATE("INSERT INTO AZIENDE (CODICE,RAGSOC,ALIAS_AZIENDA,TIPO_AZIENDA,ID_AZIENDA_PARENT) VALUES ('",C1,"','",D1,"','airliquide','HSE;",A1,"',(SELECT ID_AZIENDA FROM AZIENDE WHERE CODICE ='ALI'));")</f>
        <v>INSERT INTO AZIENDE (CODICE,RAGSOC,ALIAS_AZIENDA,TIPO_AZIENDA,ID_AZIENDA_PARENT) VALUES ('BRE','Brescia','airliquide','HSE;BIM',(SELECT ID_AZIENDA FROM AZIENDE WHERE CODICE ='ALI'));</v>
      </c>
    </row>
    <row r="2" spans="1:5" x14ac:dyDescent="0.25">
      <c r="A2" t="s">
        <v>47</v>
      </c>
      <c r="B2" t="str">
        <f t="shared" ref="B2:B35" si="0">UPPER(MID(SUBSTITUTE(D2,". ",""),1,3))</f>
        <v>PAD</v>
      </c>
      <c r="C2" t="s">
        <v>54</v>
      </c>
      <c r="D2" s="2" t="s">
        <v>2</v>
      </c>
      <c r="E2" t="str">
        <f t="shared" ref="E2:E35" si="1">CONCATENATE("INSERT INTO AZIENDE (CODICE,RAGSOC,ALIAS_AZIENDA,TIPO_AZIENDA,ID_AZIENDA_PARENT) VALUES ('",C2,"','",D2,"','airliquide','HSE;",A2,"',(SELECT ID_AZIENDA FROM AZIENDE WHERE CODICE ='ALI'));")</f>
        <v>INSERT INTO AZIENDE (CODICE,RAGSOC,ALIAS_AZIENDA,TIPO_AZIENDA,ID_AZIENDA_PARENT) VALUES ('PAD','Padova','airliquide','HSE;BIM',(SELECT ID_AZIENDA FROM AZIENDE WHERE CODICE ='ALI'));</v>
      </c>
    </row>
    <row r="3" spans="1:5" x14ac:dyDescent="0.25">
      <c r="A3" t="s">
        <v>47</v>
      </c>
      <c r="B3" t="str">
        <f t="shared" si="0"/>
        <v>ROD</v>
      </c>
      <c r="C3" t="s">
        <v>55</v>
      </c>
      <c r="D3" s="2" t="s">
        <v>3</v>
      </c>
      <c r="E3" t="str">
        <f t="shared" si="1"/>
        <v>INSERT INTO AZIENDE (CODICE,RAGSOC,ALIAS_AZIENDA,TIPO_AZIENDA,ID_AZIENDA_PARENT) VALUES ('ROD','Rodano','airliquide','HSE;BIM',(SELECT ID_AZIENDA FROM AZIENDE WHERE CODICE ='ALI'));</v>
      </c>
    </row>
    <row r="4" spans="1:5" x14ac:dyDescent="0.25">
      <c r="A4" t="s">
        <v>47</v>
      </c>
      <c r="B4" t="str">
        <f t="shared" si="0"/>
        <v>TRE</v>
      </c>
      <c r="C4" t="s">
        <v>56</v>
      </c>
      <c r="D4" s="2" t="s">
        <v>4</v>
      </c>
      <c r="E4" t="str">
        <f t="shared" si="1"/>
        <v>INSERT INTO AZIENDE (CODICE,RAGSOC,ALIAS_AZIENDA,TIPO_AZIENDA,ID_AZIENDA_PARENT) VALUES ('TRE','Trevenzuolo','airliquide','HSE;BIM',(SELECT ID_AZIENDA FROM AZIENDE WHERE CODICE ='ALI'));</v>
      </c>
    </row>
    <row r="5" spans="1:5" ht="15.75" thickBot="1" x14ac:dyDescent="0.3">
      <c r="A5" t="s">
        <v>47</v>
      </c>
      <c r="B5" t="str">
        <f t="shared" si="0"/>
        <v>UDI</v>
      </c>
      <c r="C5" t="s">
        <v>57</v>
      </c>
      <c r="D5" s="3" t="s">
        <v>5</v>
      </c>
      <c r="E5" t="str">
        <f t="shared" si="1"/>
        <v>INSERT INTO AZIENDE (CODICE,RAGSOC,ALIAS_AZIENDA,TIPO_AZIENDA,ID_AZIENDA_PARENT) VALUES ('UDI','Udine','airliquide','HSE;BIM',(SELECT ID_AZIENDA FROM AZIENDE WHERE CODICE ='ALI'));</v>
      </c>
    </row>
    <row r="6" spans="1:5" x14ac:dyDescent="0.25">
      <c r="A6" t="s">
        <v>51</v>
      </c>
      <c r="B6" t="str">
        <f t="shared" si="0"/>
        <v>LIS</v>
      </c>
      <c r="C6" t="s">
        <v>58</v>
      </c>
      <c r="D6" s="1" t="s">
        <v>28</v>
      </c>
      <c r="E6" t="str">
        <f t="shared" si="1"/>
        <v>INSERT INTO AZIENDE (CODICE,RAGSOC,ALIAS_AZIENDA,TIPO_AZIENDA,ID_AZIENDA_PARENT) VALUES ('LIS','Liscate','airliquide','HSE;BIM;BEL',(SELECT ID_AZIENDA FROM AZIENDE WHERE CODICE ='ALI'));</v>
      </c>
    </row>
    <row r="7" spans="1:5" ht="15.75" thickBot="1" x14ac:dyDescent="0.3">
      <c r="A7" t="s">
        <v>47</v>
      </c>
      <c r="B7" t="str">
        <f t="shared" si="0"/>
        <v>ROD</v>
      </c>
      <c r="C7" t="s">
        <v>55</v>
      </c>
      <c r="D7" s="3" t="s">
        <v>31</v>
      </c>
      <c r="E7" t="str">
        <f t="shared" si="1"/>
        <v>INSERT INTO AZIENDE (CODICE,RAGSOC,ALIAS_AZIENDA,TIPO_AZIENDA,ID_AZIENDA_PARENT) VALUES ('ROD','Rodano MOD','airliquide','HSE;BIM',(SELECT ID_AZIENDA FROM AZIENDE WHERE CODICE ='ALI'));</v>
      </c>
    </row>
    <row r="8" spans="1:5" x14ac:dyDescent="0.25">
      <c r="A8" t="s">
        <v>47</v>
      </c>
      <c r="B8" t="str">
        <f t="shared" si="0"/>
        <v>BUS</v>
      </c>
      <c r="C8" t="s">
        <v>59</v>
      </c>
      <c r="D8" s="1" t="s">
        <v>7</v>
      </c>
      <c r="E8" t="str">
        <f t="shared" si="1"/>
        <v>INSERT INTO AZIENDE (CODICE,RAGSOC,ALIAS_AZIENDA,TIPO_AZIENDA,ID_AZIENDA_PARENT) VALUES ('BUS','Busalla (GE)','airliquide','HSE;BIM',(SELECT ID_AZIENDA FROM AZIENDE WHERE CODICE ='ALI'));</v>
      </c>
    </row>
    <row r="9" spans="1:5" x14ac:dyDescent="0.25">
      <c r="A9" t="s">
        <v>47</v>
      </c>
      <c r="B9" t="str">
        <f t="shared" si="0"/>
        <v>CHI</v>
      </c>
      <c r="C9" t="s">
        <v>60</v>
      </c>
      <c r="D9" s="2" t="s">
        <v>25</v>
      </c>
      <c r="E9" t="str">
        <f t="shared" si="1"/>
        <v>INSERT INTO AZIENDE (CODICE,RAGSOC,ALIAS_AZIENDA,TIPO_AZIENDA,ID_AZIENDA_PARENT) VALUES ('CHI','Chieve (FGT)','airliquide','HSE;BIM',(SELECT ID_AZIENDA FROM AZIENDE WHERE CODICE ='ALI'));</v>
      </c>
    </row>
    <row r="10" spans="1:5" x14ac:dyDescent="0.25">
      <c r="A10" t="s">
        <v>47</v>
      </c>
      <c r="B10" t="str">
        <f t="shared" si="0"/>
        <v>GRU</v>
      </c>
      <c r="C10" t="s">
        <v>61</v>
      </c>
      <c r="D10" s="2" t="s">
        <v>8</v>
      </c>
      <c r="E10" t="str">
        <f t="shared" si="1"/>
        <v>INSERT INTO AZIENDE (CODICE,RAGSOC,ALIAS_AZIENDA,TIPO_AZIENDA,ID_AZIENDA_PARENT) VALUES ('GRU','Grugliasco','airliquide','HSE;BIM',(SELECT ID_AZIENDA FROM AZIENDE WHERE CODICE ='ALI'));</v>
      </c>
    </row>
    <row r="11" spans="1:5" ht="15.75" thickBot="1" x14ac:dyDescent="0.3">
      <c r="A11" t="s">
        <v>48</v>
      </c>
      <c r="B11" t="s">
        <v>52</v>
      </c>
      <c r="C11" t="s">
        <v>52</v>
      </c>
      <c r="D11" s="3" t="s">
        <v>9</v>
      </c>
      <c r="E11" t="str">
        <f t="shared" si="1"/>
        <v>INSERT INTO AZIENDE (CODICE,RAGSOC,ALIAS_AZIENDA,TIPO_AZIENDA,ID_AZIENDA_PARENT) VALUES ('FEB','Ferrera Erbognone','airliquide','HSE;BIM;BLI',(SELECT ID_AZIENDA FROM AZIENDE WHERE CODICE ='ALI'));</v>
      </c>
    </row>
    <row r="12" spans="1:5" x14ac:dyDescent="0.25">
      <c r="A12" t="s">
        <v>47</v>
      </c>
      <c r="B12" t="str">
        <f t="shared" si="0"/>
        <v>LUC</v>
      </c>
      <c r="C12" t="s">
        <v>62</v>
      </c>
      <c r="D12" s="1" t="s">
        <v>12</v>
      </c>
      <c r="E12" t="str">
        <f t="shared" si="1"/>
        <v>INSERT INTO AZIENDE (CODICE,RAGSOC,ALIAS_AZIENDA,TIPO_AZIENDA,ID_AZIENDA_PARENT) VALUES ('LUC','Lucca','airliquide','HSE;BIM',(SELECT ID_AZIENDA FROM AZIENDE WHERE CODICE ='ALI'));</v>
      </c>
    </row>
    <row r="13" spans="1:5" x14ac:dyDescent="0.25">
      <c r="A13" t="s">
        <v>47</v>
      </c>
      <c r="B13" t="str">
        <f t="shared" si="0"/>
        <v>MOD</v>
      </c>
      <c r="C13" t="s">
        <v>30</v>
      </c>
      <c r="D13" s="2" t="s">
        <v>13</v>
      </c>
      <c r="E13" t="str">
        <f t="shared" si="1"/>
        <v>INSERT INTO AZIENDE (CODICE,RAGSOC,ALIAS_AZIENDA,TIPO_AZIENDA,ID_AZIENDA_PARENT) VALUES ('MOD','Modena','airliquide','HSE;BIM',(SELECT ID_AZIENDA FROM AZIENDE WHERE CODICE ='ALI'));</v>
      </c>
    </row>
    <row r="14" spans="1:5" x14ac:dyDescent="0.25">
      <c r="A14" t="s">
        <v>47</v>
      </c>
      <c r="B14" t="str">
        <f t="shared" si="0"/>
        <v>POR</v>
      </c>
      <c r="C14" t="s">
        <v>63</v>
      </c>
      <c r="D14" s="2" t="s">
        <v>14</v>
      </c>
      <c r="E14" t="str">
        <f t="shared" si="1"/>
        <v>INSERT INTO AZIENDE (CODICE,RAGSOC,ALIAS_AZIENDA,TIPO_AZIENDA,ID_AZIENDA_PARENT) VALUES ('POR','Porto Recanati','airliquide','HSE;BIM',(SELECT ID_AZIENDA FROM AZIENDE WHERE CODICE ='ALI'));</v>
      </c>
    </row>
    <row r="15" spans="1:5" ht="15.75" thickBot="1" x14ac:dyDescent="0.3">
      <c r="A15" t="s">
        <v>47</v>
      </c>
      <c r="B15" t="str">
        <f t="shared" si="0"/>
        <v>RAV</v>
      </c>
      <c r="C15" t="s">
        <v>64</v>
      </c>
      <c r="D15" s="3" t="s">
        <v>15</v>
      </c>
      <c r="E15" t="str">
        <f t="shared" si="1"/>
        <v>INSERT INTO AZIENDE (CODICE,RAGSOC,ALIAS_AZIENDA,TIPO_AZIENDA,ID_AZIENDA_PARENT) VALUES ('RAV','Ravenna','airliquide','HSE;BIM',(SELECT ID_AZIENDA FROM AZIENDE WHERE CODICE ='ALI'));</v>
      </c>
    </row>
    <row r="16" spans="1:5" x14ac:dyDescent="0.25">
      <c r="A16" t="s">
        <v>47</v>
      </c>
      <c r="B16" t="str">
        <f t="shared" si="0"/>
        <v>FER</v>
      </c>
      <c r="C16" t="s">
        <v>65</v>
      </c>
      <c r="D16" s="1" t="s">
        <v>11</v>
      </c>
      <c r="E16" t="str">
        <f t="shared" si="1"/>
        <v>INSERT INTO AZIENDE (CODICE,RAGSOC,ALIAS_AZIENDA,TIPO_AZIENDA,ID_AZIENDA_PARENT) VALUES ('FER','Ferrara','airliquide','HSE;BIM',(SELECT ID_AZIENDA FROM AZIENDE WHERE CODICE ='ALI'));</v>
      </c>
    </row>
    <row r="17" spans="1:5" ht="15.75" thickBot="1" x14ac:dyDescent="0.3">
      <c r="A17" t="s">
        <v>47</v>
      </c>
      <c r="B17" t="str">
        <f t="shared" si="0"/>
        <v>SAL</v>
      </c>
      <c r="C17" t="s">
        <v>66</v>
      </c>
      <c r="D17" s="3" t="s">
        <v>16</v>
      </c>
      <c r="E17" t="str">
        <f t="shared" si="1"/>
        <v>INSERT INTO AZIENDE (CODICE,RAGSOC,ALIAS_AZIENDA,TIPO_AZIENDA,ID_AZIENDA_PARENT) VALUES ('SAL','S. Albino','airliquide','HSE;BIM',(SELECT ID_AZIENDA FROM AZIENDE WHERE CODICE ='ALI'));</v>
      </c>
    </row>
    <row r="18" spans="1:5" x14ac:dyDescent="0.25">
      <c r="A18" t="s">
        <v>47</v>
      </c>
      <c r="B18" t="str">
        <f t="shared" si="0"/>
        <v>ASS</v>
      </c>
      <c r="C18" t="s">
        <v>67</v>
      </c>
      <c r="D18" s="1" t="s">
        <v>18</v>
      </c>
      <c r="E18" t="str">
        <f t="shared" si="1"/>
        <v>INSERT INTO AZIENDE (CODICE,RAGSOC,ALIAS_AZIENDA,TIPO_AZIENDA,ID_AZIENDA_PARENT) VALUES ('ASS','Assemini','airliquide','HSE;BIM',(SELECT ID_AZIENDA FROM AZIENDE WHERE CODICE ='ALI'));</v>
      </c>
    </row>
    <row r="19" spans="1:5" x14ac:dyDescent="0.25">
      <c r="A19" t="s">
        <v>47</v>
      </c>
      <c r="B19" t="str">
        <f t="shared" si="0"/>
        <v>CAS</v>
      </c>
      <c r="C19" t="s">
        <v>68</v>
      </c>
      <c r="D19" s="2" t="s">
        <v>19</v>
      </c>
      <c r="E19" t="str">
        <f t="shared" si="1"/>
        <v>INSERT INTO AZIENDE (CODICE,RAGSOC,ALIAS_AZIENDA,TIPO_AZIENDA,ID_AZIENDA_PARENT) VALUES ('CAS','Caserta','airliquide','HSE;BIM',(SELECT ID_AZIENDA FROM AZIENDE WHERE CODICE ='ALI'));</v>
      </c>
    </row>
    <row r="20" spans="1:5" x14ac:dyDescent="0.25">
      <c r="A20" t="s">
        <v>47</v>
      </c>
      <c r="B20" t="str">
        <f t="shared" si="0"/>
        <v>LAN</v>
      </c>
      <c r="C20" t="s">
        <v>69</v>
      </c>
      <c r="D20" s="2" t="s">
        <v>20</v>
      </c>
      <c r="E20" t="str">
        <f t="shared" si="1"/>
        <v>INSERT INTO AZIENDE (CODICE,RAGSOC,ALIAS_AZIENDA,TIPO_AZIENDA,ID_AZIENDA_PARENT) VALUES ('LAN','Lanuvio','airliquide','HSE;BIM',(SELECT ID_AZIENDA FROM AZIENDE WHERE CODICE ='ALI'));</v>
      </c>
    </row>
    <row r="21" spans="1:5" x14ac:dyDescent="0.25">
      <c r="A21" t="s">
        <v>47</v>
      </c>
      <c r="B21" t="str">
        <f t="shared" si="0"/>
        <v>OST</v>
      </c>
      <c r="C21" t="s">
        <v>70</v>
      </c>
      <c r="D21" s="2" t="s">
        <v>21</v>
      </c>
      <c r="E21" t="str">
        <f t="shared" si="1"/>
        <v>INSERT INTO AZIENDE (CODICE,RAGSOC,ALIAS_AZIENDA,TIPO_AZIENDA,ID_AZIENDA_PARENT) VALUES ('OST','Ostuni','airliquide','HSE;BIM',(SELECT ID_AZIENDA FROM AZIENDE WHERE CODICE ='ALI'));</v>
      </c>
    </row>
    <row r="22" spans="1:5" x14ac:dyDescent="0.25">
      <c r="A22" t="s">
        <v>47</v>
      </c>
      <c r="B22" t="str">
        <f t="shared" si="0"/>
        <v>CAR</v>
      </c>
      <c r="C22" t="s">
        <v>71</v>
      </c>
      <c r="D22" s="2" t="s">
        <v>22</v>
      </c>
      <c r="E22" t="str">
        <f t="shared" si="1"/>
        <v>INSERT INTO AZIENDE (CODICE,RAGSOC,ALIAS_AZIENDA,TIPO_AZIENDA,ID_AZIENDA_PARENT) VALUES ('CAR','Carini','airliquide','HSE;BIM',(SELECT ID_AZIENDA FROM AZIENDE WHERE CODICE ='ALI'));</v>
      </c>
    </row>
    <row r="23" spans="1:5" ht="15.75" thickBot="1" x14ac:dyDescent="0.3">
      <c r="A23" t="s">
        <v>47</v>
      </c>
      <c r="B23" t="str">
        <f t="shared" si="0"/>
        <v>PRI</v>
      </c>
      <c r="C23" t="s">
        <v>72</v>
      </c>
      <c r="D23" s="2" t="s">
        <v>23</v>
      </c>
      <c r="E23" t="str">
        <f t="shared" si="1"/>
        <v>INSERT INTO AZIENDE (CODICE,RAGSOC,ALIAS_AZIENDA,TIPO_AZIENDA,ID_AZIENDA_PARENT) VALUES ('PRI','Priolo','airliquide','HSE;BIM',(SELECT ID_AZIENDA FROM AZIENDE WHERE CODICE ='ALI'));</v>
      </c>
    </row>
    <row r="24" spans="1:5" ht="15.75" thickBot="1" x14ac:dyDescent="0.3">
      <c r="A24" t="s">
        <v>48</v>
      </c>
      <c r="B24" t="str">
        <f t="shared" si="0"/>
        <v>MIL</v>
      </c>
      <c r="C24" t="s">
        <v>73</v>
      </c>
      <c r="D24" s="4" t="s">
        <v>24</v>
      </c>
      <c r="E24" t="str">
        <f t="shared" si="1"/>
        <v>INSERT INTO AZIENDE (CODICE,RAGSOC,ALIAS_AZIENDA,TIPO_AZIENDA,ID_AZIENDA_PARENT) VALUES ('MIL','Milano','airliquide','HSE;BIM;BLI',(SELECT ID_AZIENDA FROM AZIENDE WHERE CODICE ='ALI'));</v>
      </c>
    </row>
    <row r="25" spans="1:5" x14ac:dyDescent="0.25">
      <c r="A25" t="s">
        <v>49</v>
      </c>
      <c r="B25" t="str">
        <f t="shared" si="0"/>
        <v>CAS</v>
      </c>
      <c r="C25" t="s">
        <v>68</v>
      </c>
      <c r="D25" s="9" t="s">
        <v>35</v>
      </c>
      <c r="E25" t="str">
        <f t="shared" si="1"/>
        <v>INSERT INTO AZIENDE (CODICE,RAGSOC,ALIAS_AZIENDA,TIPO_AZIENDA,ID_AZIENDA_PARENT) VALUES ('CAS','Castelnuovo','airliquide','HSE;BLI',(SELECT ID_AZIENDA FROM AZIENDE WHERE CODICE ='ALI'));</v>
      </c>
    </row>
    <row r="26" spans="1:5" x14ac:dyDescent="0.25">
      <c r="A26" t="s">
        <v>49</v>
      </c>
      <c r="B26" t="str">
        <f t="shared" si="0"/>
        <v>CET</v>
      </c>
      <c r="C26" t="s">
        <v>74</v>
      </c>
      <c r="D26" s="10" t="s">
        <v>36</v>
      </c>
      <c r="E26" t="str">
        <f t="shared" si="1"/>
        <v>INSERT INTO AZIENDE (CODICE,RAGSOC,ALIAS_AZIENDA,TIPO_AZIENDA,ID_AZIENDA_PARENT) VALUES ('CET','Cet','airliquide','HSE;BLI',(SELECT ID_AZIENDA FROM AZIENDE WHERE CODICE ='ALI'));</v>
      </c>
    </row>
    <row r="27" spans="1:5" x14ac:dyDescent="0.25">
      <c r="A27" t="s">
        <v>49</v>
      </c>
      <c r="B27" t="str">
        <f t="shared" si="0"/>
        <v>LIM</v>
      </c>
      <c r="C27" t="s">
        <v>75</v>
      </c>
      <c r="D27" s="10" t="s">
        <v>37</v>
      </c>
      <c r="E27" t="str">
        <f t="shared" si="1"/>
        <v>INSERT INTO AZIENDE (CODICE,RAGSOC,ALIAS_AZIENDA,TIPO_AZIENDA,ID_AZIENDA_PARENT) VALUES ('LIM','Limito','airliquide','HSE;BLI',(SELECT ID_AZIENDA FROM AZIENDE WHERE CODICE ='ALI'));</v>
      </c>
    </row>
    <row r="28" spans="1:5" x14ac:dyDescent="0.25">
      <c r="A28" t="s">
        <v>49</v>
      </c>
      <c r="B28" t="str">
        <f t="shared" si="0"/>
        <v>PAD</v>
      </c>
      <c r="C28" t="s">
        <v>54</v>
      </c>
      <c r="D28" s="10" t="s">
        <v>2</v>
      </c>
      <c r="E28" t="str">
        <f t="shared" si="1"/>
        <v>INSERT INTO AZIENDE (CODICE,RAGSOC,ALIAS_AZIENDA,TIPO_AZIENDA,ID_AZIENDA_PARENT) VALUES ('PAD','Padova','airliquide','HSE;BLI',(SELECT ID_AZIENDA FROM AZIENDE WHERE CODICE ='ALI'));</v>
      </c>
    </row>
    <row r="29" spans="1:5" x14ac:dyDescent="0.25">
      <c r="A29" t="s">
        <v>49</v>
      </c>
      <c r="B29" t="str">
        <f t="shared" si="0"/>
        <v>CAR</v>
      </c>
      <c r="C29" t="s">
        <v>71</v>
      </c>
      <c r="D29" s="11" t="s">
        <v>38</v>
      </c>
      <c r="E29" t="str">
        <f t="shared" si="1"/>
        <v>INSERT INTO AZIENDE (CODICE,RAGSOC,ALIAS_AZIENDA,TIPO_AZIENDA,ID_AZIENDA_PARENT) VALUES ('CAR','Cargnacco - VSA','airliquide','HSE;BLI',(SELECT ID_AZIENDA FROM AZIENDE WHERE CODICE ='ALI'));</v>
      </c>
    </row>
    <row r="30" spans="1:5" ht="15.75" thickBot="1" x14ac:dyDescent="0.3">
      <c r="A30" t="s">
        <v>49</v>
      </c>
      <c r="B30" t="str">
        <f t="shared" si="0"/>
        <v>OSO</v>
      </c>
      <c r="C30" t="s">
        <v>76</v>
      </c>
      <c r="D30" s="10" t="s">
        <v>39</v>
      </c>
      <c r="E30" t="str">
        <f t="shared" si="1"/>
        <v>INSERT INTO AZIENDE (CODICE,RAGSOC,ALIAS_AZIENDA,TIPO_AZIENDA,ID_AZIENDA_PARENT) VALUES ('OSO','Osoppo - VSA','airliquide','HSE;BLI',(SELECT ID_AZIENDA FROM AZIENDE WHERE CODICE ='ALI'));</v>
      </c>
    </row>
    <row r="31" spans="1:5" x14ac:dyDescent="0.25">
      <c r="A31" t="s">
        <v>49</v>
      </c>
      <c r="B31" t="s">
        <v>80</v>
      </c>
      <c r="C31" t="s">
        <v>80</v>
      </c>
      <c r="D31" s="9" t="s">
        <v>40</v>
      </c>
      <c r="E31" t="str">
        <f t="shared" si="1"/>
        <v>INSERT INTO AZIENDE (CODICE,RAGSOC,ALIAS_AZIENDA,TIPO_AZIENDA,ID_AZIENDA_PARENT) VALUES ('PRIASU','Priolo - ASU','airliquide','HSE;BLI',(SELECT ID_AZIENDA FROM AZIENDE WHERE CODICE ='ALI'));</v>
      </c>
    </row>
    <row r="32" spans="1:5" x14ac:dyDescent="0.25">
      <c r="A32" t="s">
        <v>49</v>
      </c>
      <c r="B32" t="s">
        <v>81</v>
      </c>
      <c r="C32" s="28" t="s">
        <v>80</v>
      </c>
      <c r="D32" s="12" t="s">
        <v>41</v>
      </c>
      <c r="E32" t="str">
        <f t="shared" si="1"/>
        <v>INSERT INTO AZIENDE (CODICE,RAGSOC,ALIAS_AZIENDA,TIPO_AZIENDA,ID_AZIENDA_PARENT) VALUES ('PRIASU','Priolo - SMR.IA','airliquide','HSE;BLI',(SELECT ID_AZIENDA FROM AZIENDE WHERE CODICE ='ALI'));</v>
      </c>
    </row>
    <row r="33" spans="1:5" ht="15.75" thickBot="1" x14ac:dyDescent="0.3">
      <c r="A33" t="s">
        <v>49</v>
      </c>
      <c r="B33" t="str">
        <f t="shared" si="0"/>
        <v>SAR</v>
      </c>
      <c r="C33" t="s">
        <v>77</v>
      </c>
      <c r="D33" s="10" t="s">
        <v>42</v>
      </c>
      <c r="E33" t="str">
        <f t="shared" si="1"/>
        <v>INSERT INTO AZIENDE (CODICE,RAGSOC,ALIAS_AZIENDA,TIPO_AZIENDA,ID_AZIENDA_PARENT) VALUES ('SAR','Sarroch','airliquide','HSE;BLI',(SELECT ID_AZIENDA FROM AZIENDE WHERE CODICE ='ALI'));</v>
      </c>
    </row>
    <row r="34" spans="1:5" x14ac:dyDescent="0.25">
      <c r="A34" t="s">
        <v>50</v>
      </c>
      <c r="B34" t="str">
        <f t="shared" si="0"/>
        <v>AGR</v>
      </c>
      <c r="C34" t="s">
        <v>78</v>
      </c>
      <c r="D34" s="1" t="s">
        <v>27</v>
      </c>
      <c r="E34" t="str">
        <f t="shared" si="1"/>
        <v>INSERT INTO AZIENDE (CODICE,RAGSOC,ALIAS_AZIENDA,TIPO_AZIENDA,ID_AZIENDA_PARENT) VALUES ('AGR','Agrate','airliquide','HSE;BEL',(SELECT ID_AZIENDA FROM AZIENDE WHERE CODICE ='ALI'));</v>
      </c>
    </row>
    <row r="35" spans="1:5" x14ac:dyDescent="0.25">
      <c r="A35" t="s">
        <v>50</v>
      </c>
      <c r="B35" t="str">
        <f t="shared" si="0"/>
        <v>CAT</v>
      </c>
      <c r="C35" t="s">
        <v>79</v>
      </c>
      <c r="D35" s="2" t="s">
        <v>29</v>
      </c>
      <c r="E35" t="str">
        <f t="shared" si="1"/>
        <v>INSERT INTO AZIENDE (CODICE,RAGSOC,ALIAS_AZIENDA,TIPO_AZIENDA,ID_AZIENDA_PARENT) VALUES ('CAT','Catania','airliquide','HSE;BEL',(SELECT ID_AZIENDA FROM AZIENDE WHERE CODICE ='ALI'));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Air Liquide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mariacarmela.chiuri</dc:creator>
  <cp:lastModifiedBy>admin</cp:lastModifiedBy>
  <dcterms:created xsi:type="dcterms:W3CDTF">2017-10-11T08:10:40Z</dcterms:created>
  <dcterms:modified xsi:type="dcterms:W3CDTF">2017-12-18T12:06:41Z</dcterms:modified>
</cp:coreProperties>
</file>
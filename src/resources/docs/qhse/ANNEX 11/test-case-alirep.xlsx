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635" yWindow="-210" windowWidth="12120" windowHeight="9120" tabRatio="821" activeTab="2"/>
  </bookViews>
  <sheets>
    <sheet name="Cover" sheetId="97" r:id="rId1"/>
    <sheet name="Approvazione Standard" sheetId="122" r:id="rId2"/>
    <sheet name="Approvazione QP" sheetId="123" r:id="rId3"/>
  </sheets>
  <externalReferences>
    <externalReference r:id="rId4"/>
  </externalReferences>
  <definedNames>
    <definedName name="Access">[1]Validation!$E$2:$E$223</definedName>
    <definedName name="AccessCircuit">[1]Validation!$C$2:$C$29</definedName>
    <definedName name="ACTION" localSheetId="2">#REF!</definedName>
    <definedName name="ACTION">#REF!</definedName>
    <definedName name="CoS">[1]Validation!$G$2:$G$47</definedName>
    <definedName name="Countries">[1]Validation!$A$2:$A$301</definedName>
    <definedName name="DSLCheckService">[1]Validation!$H$2:$H$4</definedName>
    <definedName name="Port">[1]Validation!$F$2:$F$40</definedName>
    <definedName name="VancoProducts">[1]Validation!$B$2:$B$4</definedName>
  </definedNames>
  <calcPr calcId="145621"/>
</workbook>
</file>

<file path=xl/calcChain.xml><?xml version="1.0" encoding="utf-8"?>
<calcChain xmlns="http://schemas.openxmlformats.org/spreadsheetml/2006/main">
  <c r="B7" i="123" l="1"/>
  <c r="D6" i="123"/>
  <c r="B6" i="123"/>
  <c r="B3" i="123"/>
  <c r="D6" i="122"/>
  <c r="B7" i="122"/>
  <c r="B6" i="122"/>
  <c r="B3" i="122"/>
</calcChain>
</file>

<file path=xl/sharedStrings.xml><?xml version="1.0" encoding="utf-8"?>
<sst xmlns="http://schemas.openxmlformats.org/spreadsheetml/2006/main" count="1143" uniqueCount="342">
  <si>
    <t>TC16</t>
  </si>
  <si>
    <t>TC17</t>
  </si>
  <si>
    <t>TC18</t>
  </si>
  <si>
    <t>TC1</t>
  </si>
  <si>
    <t>TC2</t>
  </si>
  <si>
    <t>TC3</t>
  </si>
  <si>
    <t>TC4</t>
  </si>
  <si>
    <t>TC5</t>
  </si>
  <si>
    <t>TC6</t>
  </si>
  <si>
    <t>TC7</t>
  </si>
  <si>
    <t>Fail</t>
  </si>
  <si>
    <t>TEST CASE</t>
  </si>
  <si>
    <t>Test Case Description</t>
  </si>
  <si>
    <t>Result</t>
  </si>
  <si>
    <t>Change location</t>
  </si>
  <si>
    <t>Change description</t>
  </si>
  <si>
    <t>Effective Date</t>
  </si>
  <si>
    <t>First creation</t>
  </si>
  <si>
    <t>Reviewer/
Approver</t>
  </si>
  <si>
    <t>Originator</t>
  </si>
  <si>
    <t>Issue date:</t>
  </si>
  <si>
    <t>Test Case Procedure</t>
  </si>
  <si>
    <t>Record of change:</t>
  </si>
  <si>
    <t>Version</t>
  </si>
  <si>
    <t>Reference</t>
  </si>
  <si>
    <t>Test date</t>
  </si>
  <si>
    <t>Number of test cases:</t>
  </si>
  <si>
    <t>Expected Output</t>
  </si>
  <si>
    <t>ID</t>
  </si>
  <si>
    <t>Note</t>
  </si>
  <si>
    <t>Version:</t>
  </si>
  <si>
    <t>Project Name:</t>
  </si>
  <si>
    <t>Project Code:</t>
  </si>
  <si>
    <r>
      <t>System Name</t>
    </r>
    <r>
      <rPr>
        <b/>
        <sz val="10"/>
        <rFont val="ＭＳ Ｐゴシック"/>
        <family val="3"/>
        <charset val="128"/>
      </rPr>
      <t>：</t>
    </r>
  </si>
  <si>
    <r>
      <t>Module Code</t>
    </r>
    <r>
      <rPr>
        <b/>
        <sz val="10"/>
        <rFont val="MS Gothic"/>
        <family val="3"/>
      </rPr>
      <t>：</t>
    </r>
  </si>
  <si>
    <t>Pass</t>
  </si>
  <si>
    <t>Pending</t>
  </si>
  <si>
    <t>1.0</t>
  </si>
  <si>
    <t>TC8</t>
  </si>
  <si>
    <t>TC9</t>
  </si>
  <si>
    <t>TC10</t>
  </si>
  <si>
    <t>TC11</t>
  </si>
  <si>
    <t>TC12</t>
  </si>
  <si>
    <t>TC13</t>
  </si>
  <si>
    <t>TC14</t>
  </si>
  <si>
    <t>TC15</t>
  </si>
  <si>
    <t>TC19</t>
  </si>
  <si>
    <t>TC20</t>
  </si>
  <si>
    <t>TC21</t>
  </si>
  <si>
    <t>TC22</t>
  </si>
  <si>
    <t>1.1</t>
  </si>
  <si>
    <t>TC23</t>
  </si>
  <si>
    <t>TC24</t>
  </si>
  <si>
    <t>TC25</t>
  </si>
  <si>
    <t>TC26</t>
  </si>
  <si>
    <t>TC27</t>
  </si>
  <si>
    <t>TC28</t>
  </si>
  <si>
    <t>TC29</t>
  </si>
  <si>
    <t>TC30</t>
  </si>
  <si>
    <t>TC31</t>
  </si>
  <si>
    <t>TC32</t>
  </si>
  <si>
    <t>TC33</t>
  </si>
  <si>
    <t>TC34</t>
  </si>
  <si>
    <t>TC35</t>
  </si>
  <si>
    <t>TC36</t>
  </si>
  <si>
    <t>ALIREP (Reporting QHSE)</t>
  </si>
  <si>
    <t>ALI-2017002</t>
  </si>
  <si>
    <t>ALI-MOD 20 - Piani d'Azione</t>
  </si>
  <si>
    <t>Creazione nuovo PdA</t>
  </si>
  <si>
    <t>Login come contributor</t>
  </si>
  <si>
    <t xml:space="preserve">Login con user di test davide.siliprandi@airliquide.com Password1!
</t>
  </si>
  <si>
    <t>Cambio password</t>
  </si>
  <si>
    <t>cambio password</t>
  </si>
  <si>
    <t>inserisco password vecchia e creo password nuova</t>
  </si>
  <si>
    <t>Login Contributor</t>
  </si>
  <si>
    <t>contollo criteri nuova password (lettere,numeri, caratteri speciali)</t>
  </si>
  <si>
    <t>Fabiano Moda</t>
  </si>
  <si>
    <t>REL 1.0 - Final Delivery ALIREP</t>
  </si>
  <si>
    <t>Modifiche per approvazione QP</t>
  </si>
  <si>
    <t>Test Team Project srl</t>
  </si>
  <si>
    <t>CR01 - Approvazioni QP</t>
  </si>
  <si>
    <r>
      <t>Test reference</t>
    </r>
    <r>
      <rPr>
        <b/>
        <sz val="10"/>
        <rFont val="MS Gothic"/>
        <family val="3"/>
      </rPr>
      <t>：</t>
    </r>
  </si>
  <si>
    <t>Login con nuova password</t>
  </si>
  <si>
    <t>login con menu contributor: solo gestione moduli qhse</t>
  </si>
  <si>
    <t>Compaiono solo i siti di competenza dell'utente
stato=draft
nr=blank
campi bloccati: stato, nr
campi obbligatori: BL,Sito, titolo</t>
  </si>
  <si>
    <t xml:space="preserve">Selezionare la voce di menu Inserimento
</t>
  </si>
  <si>
    <t>seleziona BL</t>
  </si>
  <si>
    <t>l'utente ha un'unica BL impostata</t>
  </si>
  <si>
    <t xml:space="preserve">i siti vengono filtrati in funzione della BL selezionata
</t>
  </si>
  <si>
    <t>seleziona SITO
inserisce TITOLO</t>
  </si>
  <si>
    <t>i campi obbligatori vengono evidenziati come compilati</t>
  </si>
  <si>
    <t>Clicco su SALVA</t>
  </si>
  <si>
    <t>evidenzia i campi obbligatori</t>
  </si>
  <si>
    <t xml:space="preserve">Creare un nuovo PdA in BOZZA </t>
  </si>
  <si>
    <t xml:space="preserve">visualizza campi per compilazione AZIONi
visualizza tasto INVIA APPROVATORE
nuovo nr. Progressivo
campi obbligatori: tipo azione, classificazione, descrizione, data scadenza, responsabile
</t>
  </si>
  <si>
    <t>Compilo azione qualità</t>
  </si>
  <si>
    <t>Clicco su AGGIUNGI</t>
  </si>
  <si>
    <t>pulisce campi pannello azioni
aggiunge riga nel riepilogo azioni</t>
  </si>
  <si>
    <t>Clicco su matita di modifica dell'azione appena inserita</t>
  </si>
  <si>
    <t>riporta tutti i campi inseriti nel pannello azioni
il tasto aggiungi diventa salva</t>
  </si>
  <si>
    <t>Modifico un campo e clicco su salva</t>
  </si>
  <si>
    <t>pulisce campi pannello azioni
aggiunge riga nel riepilogo azioni
il campo modificato viene visualizzato in griglia con la variazione apportata</t>
  </si>
  <si>
    <t>Clicco su elimina sull'azione appena inserita</t>
  </si>
  <si>
    <t>compare messaggio "Confermi la cancellazione dell'elemento selezionato?"</t>
  </si>
  <si>
    <t>Clicco su NO nel messaggio ELIMINA</t>
  </si>
  <si>
    <t>scompare il messaggio</t>
  </si>
  <si>
    <t>Clicco su SI nel messaggio ELIMINA</t>
  </si>
  <si>
    <t>viene elimnata l'azione inserita</t>
  </si>
  <si>
    <t>Compilo azione Sicurezza</t>
  </si>
  <si>
    <t>Compilo azione Ambiente</t>
  </si>
  <si>
    <t>Compilo azione GMP</t>
  </si>
  <si>
    <t>TC37</t>
  </si>
  <si>
    <t>TC38</t>
  </si>
  <si>
    <t>TC39</t>
  </si>
  <si>
    <t>TC40</t>
  </si>
  <si>
    <t>TC41</t>
  </si>
  <si>
    <t>TC42</t>
  </si>
  <si>
    <t>TC43</t>
  </si>
  <si>
    <t>TC44</t>
  </si>
  <si>
    <t>TC45</t>
  </si>
  <si>
    <t>TC46</t>
  </si>
  <si>
    <t>TC47</t>
  </si>
  <si>
    <t>TC48</t>
  </si>
  <si>
    <t>TC49</t>
  </si>
  <si>
    <t>TC50</t>
  </si>
  <si>
    <t>TC51</t>
  </si>
  <si>
    <t>TC52</t>
  </si>
  <si>
    <t>TC53</t>
  </si>
  <si>
    <t>TC54</t>
  </si>
  <si>
    <t>TC55</t>
  </si>
  <si>
    <t>TC56</t>
  </si>
  <si>
    <t>TC57</t>
  </si>
  <si>
    <t>TC58</t>
  </si>
  <si>
    <t>TC59</t>
  </si>
  <si>
    <t>TC60</t>
  </si>
  <si>
    <t>TC61</t>
  </si>
  <si>
    <t>TC62</t>
  </si>
  <si>
    <t>TC63</t>
  </si>
  <si>
    <t>TC64</t>
  </si>
  <si>
    <t>TC65</t>
  </si>
  <si>
    <t>TC66</t>
  </si>
  <si>
    <t>TC67</t>
  </si>
  <si>
    <t>TC68</t>
  </si>
  <si>
    <t>TC69</t>
  </si>
  <si>
    <t>TC70</t>
  </si>
  <si>
    <t>Invia PdA ad approvatore</t>
  </si>
  <si>
    <t>Visualizza e modifica PDA</t>
  </si>
  <si>
    <t>Ricerca PdA</t>
  </si>
  <si>
    <t>Selezionare la voce di menu RICERCA</t>
  </si>
  <si>
    <t>Compaino i PDA inseriti con il loro stato</t>
  </si>
  <si>
    <t>Cliccare sulla matita di modifica</t>
  </si>
  <si>
    <t>Si riapre la pagina di inserimento PdA con i campi del modulo selezionato valorizzati</t>
  </si>
  <si>
    <t xml:space="preserve">Cliccare sulla matita di cancellazione </t>
  </si>
  <si>
    <t>Compare popup "Confermi la cancellazione dell'elemento selezionato?"</t>
  </si>
  <si>
    <t>viene eliminato il PDA dall'elenco</t>
  </si>
  <si>
    <t>Inserimento nuovo PDA secondo TC precedenti</t>
  </si>
  <si>
    <t>Modifica PdA</t>
  </si>
  <si>
    <t>Cancella PdA</t>
  </si>
  <si>
    <t>Modifica PdA ed invio ad approvatore</t>
  </si>
  <si>
    <t>Cliccare sulla matita di modifica di un PDA IN BOZZA</t>
  </si>
  <si>
    <t>Cliccare su INVIA APPROVATORE</t>
  </si>
  <si>
    <t>Compare Popup "Confermi invio modulo per approvazione?"</t>
  </si>
  <si>
    <t>Cliccare su NO</t>
  </si>
  <si>
    <t>Cliccare su SI</t>
  </si>
  <si>
    <t>ritorna in ricerca con STATO = IN APPROVAZIONE</t>
  </si>
  <si>
    <t>Contollare casella mail dell'approvatore</t>
  </si>
  <si>
    <t>ricevuto messaggio di richiesta approvazione</t>
  </si>
  <si>
    <t>ci sono più approvatori per il sito e tutti hanno ricevuto il messaggio</t>
  </si>
  <si>
    <t>TC71</t>
  </si>
  <si>
    <t>TC72</t>
  </si>
  <si>
    <t>TC73</t>
  </si>
  <si>
    <t>TC74</t>
  </si>
  <si>
    <t>TC75</t>
  </si>
  <si>
    <t>TC76</t>
  </si>
  <si>
    <t>TC77</t>
  </si>
  <si>
    <t>Cliccare sulla matita di modifica di un PDA IN APPROVAZIONE</t>
  </si>
  <si>
    <t>Si riapre la pagina di inserimento PdA con i campi del modulo selezionato valorizzati
i campi non sono modificabili in attesa di approvazione</t>
  </si>
  <si>
    <t>TC78</t>
  </si>
  <si>
    <t>Approvazion PdA</t>
  </si>
  <si>
    <t>Login Approver</t>
  </si>
  <si>
    <t>TC79</t>
  </si>
  <si>
    <t>TC80</t>
  </si>
  <si>
    <t>TC81</t>
  </si>
  <si>
    <t>TC82</t>
  </si>
  <si>
    <t>TC83</t>
  </si>
  <si>
    <t>TC84</t>
  </si>
  <si>
    <t>TC85</t>
  </si>
  <si>
    <t>TC86</t>
  </si>
  <si>
    <t>TC87</t>
  </si>
  <si>
    <t>TC88</t>
  </si>
  <si>
    <t>TC89</t>
  </si>
  <si>
    <t>Login come Approver</t>
  </si>
  <si>
    <t xml:space="preserve">Login con user di test sebastiano.micali@airliquide.com Password1!
</t>
  </si>
  <si>
    <t>- Compaino i PDA inseriti con il loro stato
- Per i PdA IN APPROVAZIONE compaiono le icone "approva" e "riporta in bozza"
- per tutti compare l'icona "modifica"
- non compare mai icona "elimina" a meno che il PdA sia in BOZZA inserito dall'approvatore (utente loggato)</t>
  </si>
  <si>
    <t>Cliccare su RIPORTA IN BOZZA</t>
  </si>
  <si>
    <t>Compare Popup "Confermi il ripristino in bozza selezionato?"</t>
  </si>
  <si>
    <t>Riporta in BOZZA</t>
  </si>
  <si>
    <t>ritorna in STATO = BOZZA</t>
  </si>
  <si>
    <t>Inviare per approvazione</t>
  </si>
  <si>
    <t>login come contributor e re-invio ad approvatore</t>
  </si>
  <si>
    <t>ritorna in ricerca con STATO = IN APPROVAZIONE
controlla casella mail approvatori</t>
  </si>
  <si>
    <t>Login come approver e selezionare la voce di menu RICERCA</t>
  </si>
  <si>
    <t>Approva PDA</t>
  </si>
  <si>
    <t>Cliccare su APPROVA</t>
  </si>
  <si>
    <t>Compare Popup "Confermi l'approvazione del modulo selezionato?"</t>
  </si>
  <si>
    <t>ritorna in STATO = APPROVATO
controlla casella mail approvatori per verificare che il contributore ha ricevuto mail di approvazione</t>
  </si>
  <si>
    <t>TC90</t>
  </si>
  <si>
    <t>TC91</t>
  </si>
  <si>
    <t>TC92</t>
  </si>
  <si>
    <t>TC93</t>
  </si>
  <si>
    <t>TC94</t>
  </si>
  <si>
    <t>TC95</t>
  </si>
  <si>
    <t>TC96</t>
  </si>
  <si>
    <t>TC97</t>
  </si>
  <si>
    <t>TC98</t>
  </si>
  <si>
    <t>TC99</t>
  </si>
  <si>
    <t>TC100</t>
  </si>
  <si>
    <t>TC101</t>
  </si>
  <si>
    <t>TC102</t>
  </si>
  <si>
    <t xml:space="preserve">Login con user di test giuseppe.colpani@airliquide.com Password1!
</t>
  </si>
  <si>
    <t xml:space="preserve">Login con user di test mariano.rega@airliquide.com Password1!
</t>
  </si>
  <si>
    <t>Login Contributor di UN SITO AIFA (LIMITO)</t>
  </si>
  <si>
    <t>ritorna in STATO = IN APPROVAZIONE QP
controlla casella mail approvatori per verificare che il contributore ha ricevuto mail di approvazione</t>
  </si>
  <si>
    <t>Login Approver QP</t>
  </si>
  <si>
    <t xml:space="preserve">Login con user di test davide.mastroieni@airliquide.com Password1!
</t>
  </si>
  <si>
    <t>Cliccare sulla matita di modifica di un PDA IN APPROVAZIONE QP</t>
  </si>
  <si>
    <t>- Compaino i PDA inseriti con il loro stato
- Per i PdA IN APPROVAZIONE QP compaiono le icone "approva"
- per tutti compare l'icona "modifica"
- non compare mai icona "elimina" a meno che il PdA sia in BOZZA inserito dall'approvatore (utente loggato)</t>
  </si>
  <si>
    <t>ritorna in STATO = APPROVATO QP
controlla casella mail approvatori per verificare che il contributore ha ricevuto mail di approvazione</t>
  </si>
  <si>
    <t>TC103</t>
  </si>
  <si>
    <t>TC104</t>
  </si>
  <si>
    <t>TC105</t>
  </si>
  <si>
    <t>TC106</t>
  </si>
  <si>
    <t>TC107</t>
  </si>
  <si>
    <t>TC108</t>
  </si>
  <si>
    <t>TC109</t>
  </si>
  <si>
    <t>TC110</t>
  </si>
  <si>
    <t>TC111</t>
  </si>
  <si>
    <t>TC112</t>
  </si>
  <si>
    <t>TC113</t>
  </si>
  <si>
    <t>TC114</t>
  </si>
  <si>
    <t>TC115</t>
  </si>
  <si>
    <t>TC116</t>
  </si>
  <si>
    <t>TC117</t>
  </si>
  <si>
    <t>TC118</t>
  </si>
  <si>
    <t>TC119</t>
  </si>
  <si>
    <t>TC120</t>
  </si>
  <si>
    <t>TC121</t>
  </si>
  <si>
    <t>TC122</t>
  </si>
  <si>
    <t>TC123</t>
  </si>
  <si>
    <t>TC124</t>
  </si>
  <si>
    <t>TC125</t>
  </si>
  <si>
    <t>TC126</t>
  </si>
  <si>
    <t>TC127</t>
  </si>
  <si>
    <t>TC128</t>
  </si>
  <si>
    <t>TC129</t>
  </si>
  <si>
    <t>TC130</t>
  </si>
  <si>
    <t>TC131</t>
  </si>
  <si>
    <t>TC132</t>
  </si>
  <si>
    <t>TC133</t>
  </si>
  <si>
    <t>TC134</t>
  </si>
  <si>
    <t>TC135</t>
  </si>
  <si>
    <t>TC136</t>
  </si>
  <si>
    <t>TC137</t>
  </si>
  <si>
    <t>TC138</t>
  </si>
  <si>
    <t>TC139</t>
  </si>
  <si>
    <t>TC140</t>
  </si>
  <si>
    <t>TC141</t>
  </si>
  <si>
    <t>TC142</t>
  </si>
  <si>
    <t>TC143</t>
  </si>
  <si>
    <t>TC144</t>
  </si>
  <si>
    <t>TC145</t>
  </si>
  <si>
    <t>TC146</t>
  </si>
  <si>
    <t>TC147</t>
  </si>
  <si>
    <t>TC148</t>
  </si>
  <si>
    <t>TC149</t>
  </si>
  <si>
    <t>TC150</t>
  </si>
  <si>
    <t>TC151</t>
  </si>
  <si>
    <t>TC152</t>
  </si>
  <si>
    <t>TC153</t>
  </si>
  <si>
    <t>TC154</t>
  </si>
  <si>
    <t>TC155</t>
  </si>
  <si>
    <t>TC156</t>
  </si>
  <si>
    <t>TC157</t>
  </si>
  <si>
    <t>TC158</t>
  </si>
  <si>
    <t>TC159</t>
  </si>
  <si>
    <t>TC160</t>
  </si>
  <si>
    <t>TC161</t>
  </si>
  <si>
    <t>TC162</t>
  </si>
  <si>
    <t>TC163</t>
  </si>
  <si>
    <t>TC164</t>
  </si>
  <si>
    <t>TC165</t>
  </si>
  <si>
    <t>TC166</t>
  </si>
  <si>
    <t>TC167</t>
  </si>
  <si>
    <t>TC168</t>
  </si>
  <si>
    <t>TC169</t>
  </si>
  <si>
    <t>TC170</t>
  </si>
  <si>
    <t>TC171</t>
  </si>
  <si>
    <t>TC172</t>
  </si>
  <si>
    <t>TC173</t>
  </si>
  <si>
    <t>TC174</t>
  </si>
  <si>
    <t>TC175</t>
  </si>
  <si>
    <t>TC176</t>
  </si>
  <si>
    <t>TC177</t>
  </si>
  <si>
    <t>TC178</t>
  </si>
  <si>
    <t>TC179</t>
  </si>
  <si>
    <t>TC180</t>
  </si>
  <si>
    <t>TC181</t>
  </si>
  <si>
    <t>TC182</t>
  </si>
  <si>
    <t>TC183</t>
  </si>
  <si>
    <t>TC184</t>
  </si>
  <si>
    <t>TC185</t>
  </si>
  <si>
    <t>TC186</t>
  </si>
  <si>
    <t>TC187</t>
  </si>
  <si>
    <t>TC188</t>
  </si>
  <si>
    <t>TC189</t>
  </si>
  <si>
    <t>TC190</t>
  </si>
  <si>
    <t>TC191</t>
  </si>
  <si>
    <t>TC192</t>
  </si>
  <si>
    <t>TC193</t>
  </si>
  <si>
    <t>TC194</t>
  </si>
  <si>
    <t>TC195</t>
  </si>
  <si>
    <t>TC196</t>
  </si>
  <si>
    <t>TC197</t>
  </si>
  <si>
    <t>TC198</t>
  </si>
  <si>
    <t>TC199</t>
  </si>
  <si>
    <t>TC200</t>
  </si>
  <si>
    <t>TC201</t>
  </si>
  <si>
    <t>TC202</t>
  </si>
  <si>
    <t>TC203</t>
  </si>
  <si>
    <t>TC204</t>
  </si>
  <si>
    <t>TC205</t>
  </si>
  <si>
    <t>TC206</t>
  </si>
  <si>
    <t>TC207</t>
  </si>
  <si>
    <t>TC208</t>
  </si>
  <si>
    <t>TC209</t>
  </si>
  <si>
    <t>TC210</t>
  </si>
  <si>
    <t>TC211</t>
  </si>
  <si>
    <t>TC212</t>
  </si>
  <si>
    <t>TC213</t>
  </si>
  <si>
    <t>CR01 - CREAZIONE ALI-MOD 20 con approvazione standard</t>
  </si>
  <si>
    <t>CR01 - CREAZIONE ALI-MOD 20 con approvazione QP</t>
  </si>
  <si>
    <t xml:space="preserve">ALL.5 TEST CASES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</si>
</sst>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0.000"/>
  </numFmts>
  <fonts count="20">
    <font>
      <sz val="11"/>
      <name val="ＭＳ Ｐゴシック"/>
      <charset val="128"/>
    </font>
    <font>
      <sz val="11"/>
      <name val="ＭＳ Ｐゴシック"/>
      <charset val="128"/>
    </font>
    <font>
      <sz val="11"/>
      <name val="ＭＳ Ｐゴシック"/>
      <charset val="128"/>
    </font>
    <font>
      <sz val="9"/>
      <name val="ＭＳ ゴシック"/>
      <family val="3"/>
      <charset val="128"/>
    </font>
    <font>
      <sz val="10"/>
      <name val="Tahoma"/>
      <family val="2"/>
    </font>
    <font>
      <sz val="8"/>
      <color indexed="8"/>
      <name val="Tahoma"/>
      <family val="2"/>
    </font>
    <font>
      <sz val="10"/>
      <color indexed="8"/>
      <name val="Tahoma"/>
      <family val="2"/>
    </font>
    <font>
      <b/>
      <sz val="18"/>
      <name val="Tahoma"/>
      <family val="2"/>
    </font>
    <font>
      <sz val="11"/>
      <name val="Tahoma"/>
      <family val="2"/>
    </font>
    <font>
      <b/>
      <sz val="10"/>
      <name val="Tahoma"/>
      <family val="2"/>
    </font>
    <font>
      <b/>
      <sz val="10"/>
      <color indexed="60"/>
      <name val="Tahoma"/>
      <family val="2"/>
    </font>
    <font>
      <b/>
      <sz val="10"/>
      <name val="ＭＳ Ｐゴシック"/>
      <family val="3"/>
      <charset val="128"/>
    </font>
    <font>
      <b/>
      <sz val="10"/>
      <name val="MS Gothic"/>
      <family val="3"/>
    </font>
    <font>
      <b/>
      <sz val="10"/>
      <color indexed="9"/>
      <name val="Tahoma"/>
      <family val="2"/>
    </font>
    <font>
      <sz val="8"/>
      <name val="ＭＳ Ｐゴシック"/>
      <charset val="128"/>
    </font>
    <font>
      <sz val="12"/>
      <color indexed="8"/>
      <name val="Tahoma"/>
      <family val="2"/>
    </font>
    <font>
      <b/>
      <sz val="12"/>
      <color indexed="9"/>
      <name val="Tahoma"/>
      <family val="2"/>
    </font>
    <font>
      <sz val="12"/>
      <name val="ＭＳ Ｐゴシック"/>
      <charset val="128"/>
    </font>
    <font>
      <b/>
      <sz val="10"/>
      <color indexed="8"/>
      <name val="Tahoma"/>
      <family val="2"/>
    </font>
    <font>
      <sz val="10"/>
      <color indexed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 applyProtection="0"/>
    <xf numFmtId="0" fontId="3" fillId="0" borderId="0"/>
  </cellStyleXfs>
  <cellXfs count="105">
    <xf numFmtId="0" fontId="0" fillId="0" borderId="0" xfId="0"/>
    <xf numFmtId="0" fontId="8" fillId="0" borderId="0" xfId="0" applyFont="1"/>
    <xf numFmtId="0" fontId="5" fillId="0" borderId="0" xfId="0" applyFont="1" applyAlignment="1"/>
    <xf numFmtId="0" fontId="6" fillId="0" borderId="0" xfId="0" applyFont="1" applyAlignment="1"/>
    <xf numFmtId="0" fontId="5" fillId="0" borderId="0" xfId="0" applyFont="1" applyAlignment="1">
      <alignment vertical="top"/>
    </xf>
    <xf numFmtId="0" fontId="10" fillId="0" borderId="0" xfId="0" applyFont="1"/>
    <xf numFmtId="0" fontId="5" fillId="2" borderId="0" xfId="0" applyFont="1" applyFill="1" applyAlignment="1">
      <alignment wrapText="1"/>
    </xf>
    <xf numFmtId="0" fontId="5" fillId="2" borderId="0" xfId="0" applyFont="1" applyFill="1" applyAlignment="1"/>
    <xf numFmtId="0" fontId="6" fillId="2" borderId="0" xfId="0" applyFont="1" applyFill="1" applyBorder="1" applyAlignment="1">
      <alignment horizontal="center" wrapText="1"/>
    </xf>
    <xf numFmtId="0" fontId="6" fillId="2" borderId="0" xfId="0" applyFont="1" applyFill="1" applyAlignment="1"/>
    <xf numFmtId="0" fontId="6" fillId="2" borderId="1" xfId="0" applyFont="1" applyFill="1" applyBorder="1" applyAlignment="1">
      <alignment horizontal="center" wrapText="1"/>
    </xf>
    <xf numFmtId="15" fontId="4" fillId="0" borderId="0" xfId="0" applyNumberFormat="1" applyFont="1" applyAlignment="1">
      <alignment horizontal="left"/>
    </xf>
    <xf numFmtId="0" fontId="6" fillId="2" borderId="2" xfId="0" applyFont="1" applyFill="1" applyBorder="1" applyAlignment="1">
      <alignment horizontal="right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right"/>
    </xf>
    <xf numFmtId="0" fontId="4" fillId="0" borderId="0" xfId="0" applyFont="1" applyBorder="1"/>
    <xf numFmtId="0" fontId="8" fillId="2" borderId="0" xfId="0" applyFont="1" applyFill="1"/>
    <xf numFmtId="0" fontId="7" fillId="2" borderId="0" xfId="0" applyFont="1" applyFill="1"/>
    <xf numFmtId="0" fontId="10" fillId="2" borderId="0" xfId="0" applyFont="1" applyFill="1"/>
    <xf numFmtId="0" fontId="4" fillId="2" borderId="0" xfId="0" applyFont="1" applyFill="1"/>
    <xf numFmtId="0" fontId="6" fillId="0" borderId="5" xfId="0" applyFont="1" applyBorder="1" applyAlignment="1">
      <alignment horizontal="center"/>
    </xf>
    <xf numFmtId="0" fontId="8" fillId="0" borderId="0" xfId="0" applyFont="1" applyBorder="1"/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4" fillId="0" borderId="7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15" fontId="4" fillId="0" borderId="6" xfId="0" applyNumberFormat="1" applyFont="1" applyBorder="1" applyAlignment="1">
      <alignment horizontal="left" vertical="center"/>
    </xf>
    <xf numFmtId="49" fontId="4" fillId="0" borderId="6" xfId="0" quotePrefix="1" applyNumberFormat="1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7" xfId="0" applyNumberFormat="1" applyFont="1" applyBorder="1" applyAlignment="1">
      <alignment vertical="center"/>
    </xf>
    <xf numFmtId="49" fontId="4" fillId="0" borderId="6" xfId="0" applyNumberFormat="1" applyFont="1" applyBorder="1" applyAlignment="1">
      <alignment vertical="center"/>
    </xf>
    <xf numFmtId="0" fontId="8" fillId="0" borderId="8" xfId="0" applyFont="1" applyBorder="1" applyAlignment="1">
      <alignment vertical="center"/>
    </xf>
    <xf numFmtId="164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164" fontId="13" fillId="3" borderId="12" xfId="0" applyNumberFormat="1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 wrapText="1"/>
    </xf>
    <xf numFmtId="0" fontId="4" fillId="2" borderId="0" xfId="0" applyNumberFormat="1" applyFont="1" applyFill="1" applyAlignment="1">
      <alignment horizontal="left"/>
    </xf>
    <xf numFmtId="0" fontId="9" fillId="2" borderId="0" xfId="2" applyFont="1" applyFill="1" applyAlignment="1"/>
    <xf numFmtId="0" fontId="9" fillId="2" borderId="14" xfId="2" applyFont="1" applyFill="1" applyBorder="1" applyAlignment="1">
      <alignment horizontal="left" wrapText="1"/>
    </xf>
    <xf numFmtId="1" fontId="6" fillId="2" borderId="15" xfId="0" applyNumberFormat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4" fillId="2" borderId="0" xfId="2" applyFont="1" applyFill="1" applyBorder="1" applyAlignment="1">
      <alignment horizontal="left" wrapText="1"/>
    </xf>
    <xf numFmtId="1" fontId="6" fillId="2" borderId="0" xfId="0" applyNumberFormat="1" applyFont="1" applyFill="1" applyBorder="1" applyAlignment="1">
      <alignment horizontal="center" wrapText="1"/>
    </xf>
    <xf numFmtId="0" fontId="6" fillId="2" borderId="0" xfId="0" applyFont="1" applyFill="1" applyBorder="1" applyAlignment="1"/>
    <xf numFmtId="0" fontId="6" fillId="0" borderId="0" xfId="0" applyFont="1" applyBorder="1" applyAlignment="1"/>
    <xf numFmtId="0" fontId="9" fillId="2" borderId="2" xfId="2" applyFont="1" applyFill="1" applyBorder="1" applyAlignment="1">
      <alignment horizontal="left" vertical="center" wrapText="1"/>
    </xf>
    <xf numFmtId="15" fontId="4" fillId="0" borderId="6" xfId="0" applyNumberFormat="1" applyFont="1" applyBorder="1" applyAlignment="1">
      <alignment horizontal="center" vertical="center"/>
    </xf>
    <xf numFmtId="0" fontId="15" fillId="2" borderId="0" xfId="0" applyFont="1" applyFill="1" applyAlignment="1"/>
    <xf numFmtId="0" fontId="15" fillId="0" borderId="0" xfId="0" applyFont="1" applyAlignment="1"/>
    <xf numFmtId="0" fontId="17" fillId="0" borderId="0" xfId="0" applyFont="1"/>
    <xf numFmtId="0" fontId="6" fillId="0" borderId="1" xfId="0" quotePrefix="1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165" fontId="6" fillId="0" borderId="1" xfId="0" applyNumberFormat="1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center" wrapText="1"/>
    </xf>
    <xf numFmtId="0" fontId="13" fillId="3" borderId="18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center" wrapText="1"/>
    </xf>
    <xf numFmtId="0" fontId="6" fillId="2" borderId="1" xfId="0" applyFont="1" applyFill="1" applyBorder="1" applyAlignment="1">
      <alignment wrapText="1"/>
    </xf>
    <xf numFmtId="0" fontId="6" fillId="2" borderId="5" xfId="0" applyFont="1" applyFill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0" fillId="0" borderId="0" xfId="0" applyAlignment="1"/>
    <xf numFmtId="0" fontId="0" fillId="0" borderId="1" xfId="0" applyBorder="1"/>
    <xf numFmtId="0" fontId="4" fillId="0" borderId="1" xfId="0" applyFont="1" applyBorder="1"/>
    <xf numFmtId="164" fontId="4" fillId="0" borderId="7" xfId="0" applyNumberFormat="1" applyFont="1" applyBorder="1" applyAlignment="1">
      <alignment horizontal="center"/>
    </xf>
    <xf numFmtId="0" fontId="6" fillId="2" borderId="0" xfId="0" applyFont="1" applyFill="1" applyBorder="1" applyAlignment="1">
      <alignment wrapText="1"/>
    </xf>
    <xf numFmtId="0" fontId="5" fillId="2" borderId="0" xfId="0" applyFont="1" applyFill="1" applyBorder="1" applyAlignment="1">
      <alignment wrapText="1"/>
    </xf>
    <xf numFmtId="0" fontId="6" fillId="2" borderId="31" xfId="0" applyFont="1" applyFill="1" applyBorder="1" applyAlignment="1">
      <alignment horizontal="center" wrapText="1"/>
    </xf>
    <xf numFmtId="0" fontId="6" fillId="2" borderId="0" xfId="0" applyFont="1" applyFill="1" applyBorder="1" applyAlignment="1">
      <alignment horizontal="center" wrapText="1"/>
    </xf>
    <xf numFmtId="0" fontId="4" fillId="2" borderId="21" xfId="2" applyFont="1" applyFill="1" applyBorder="1" applyAlignment="1">
      <alignment horizontal="left" wrapText="1"/>
    </xf>
    <xf numFmtId="0" fontId="4" fillId="2" borderId="22" xfId="2" applyFont="1" applyFill="1" applyBorder="1" applyAlignment="1">
      <alignment horizontal="left" wrapText="1"/>
    </xf>
    <xf numFmtId="0" fontId="6" fillId="0" borderId="19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18" fillId="4" borderId="19" xfId="2" applyFont="1" applyFill="1" applyBorder="1" applyAlignment="1">
      <alignment horizontal="left" vertical="center" wrapText="1"/>
    </xf>
    <xf numFmtId="0" fontId="18" fillId="4" borderId="20" xfId="2" applyFont="1" applyFill="1" applyBorder="1" applyAlignment="1">
      <alignment horizontal="left" vertical="center" wrapText="1"/>
    </xf>
    <xf numFmtId="0" fontId="18" fillId="4" borderId="16" xfId="2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center" wrapText="1"/>
    </xf>
    <xf numFmtId="0" fontId="5" fillId="2" borderId="26" xfId="0" applyFont="1" applyFill="1" applyBorder="1" applyAlignment="1">
      <alignment horizontal="center" wrapText="1"/>
    </xf>
    <xf numFmtId="0" fontId="6" fillId="2" borderId="27" xfId="0" applyFont="1" applyFill="1" applyBorder="1" applyAlignment="1">
      <alignment horizontal="center"/>
    </xf>
    <xf numFmtId="0" fontId="4" fillId="2" borderId="19" xfId="2" applyFont="1" applyFill="1" applyBorder="1" applyAlignment="1">
      <alignment horizontal="left" vertical="center" wrapText="1"/>
    </xf>
    <xf numFmtId="0" fontId="4" fillId="2" borderId="20" xfId="2" applyFont="1" applyFill="1" applyBorder="1" applyAlignment="1">
      <alignment horizontal="left" vertical="center" wrapText="1"/>
    </xf>
    <xf numFmtId="0" fontId="4" fillId="2" borderId="23" xfId="2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center" wrapText="1"/>
    </xf>
    <xf numFmtId="0" fontId="13" fillId="5" borderId="1" xfId="2" applyFont="1" applyFill="1" applyBorder="1" applyAlignment="1">
      <alignment horizontal="center" vertical="center" wrapText="1"/>
    </xf>
    <xf numFmtId="0" fontId="4" fillId="2" borderId="19" xfId="2" applyFont="1" applyFill="1" applyBorder="1" applyAlignment="1">
      <alignment horizontal="left" vertical="top" wrapText="1"/>
    </xf>
    <xf numFmtId="0" fontId="4" fillId="2" borderId="20" xfId="2" applyFont="1" applyFill="1" applyBorder="1" applyAlignment="1">
      <alignment horizontal="left" vertical="top" wrapText="1"/>
    </xf>
    <xf numFmtId="0" fontId="4" fillId="2" borderId="23" xfId="2" applyFont="1" applyFill="1" applyBorder="1" applyAlignment="1">
      <alignment horizontal="left" vertical="top" wrapText="1"/>
    </xf>
    <xf numFmtId="0" fontId="13" fillId="5" borderId="24" xfId="2" applyFont="1" applyFill="1" applyBorder="1" applyAlignment="1">
      <alignment horizontal="center" vertical="center" wrapText="1"/>
    </xf>
    <xf numFmtId="0" fontId="13" fillId="5" borderId="25" xfId="2" applyFont="1" applyFill="1" applyBorder="1" applyAlignment="1">
      <alignment horizontal="center" vertical="center" wrapText="1"/>
    </xf>
    <xf numFmtId="0" fontId="16" fillId="6" borderId="20" xfId="0" applyFont="1" applyFill="1" applyBorder="1" applyAlignment="1">
      <alignment horizontal="left" vertical="center"/>
    </xf>
    <xf numFmtId="0" fontId="16" fillId="6" borderId="16" xfId="0" applyFont="1" applyFill="1" applyBorder="1" applyAlignment="1">
      <alignment horizontal="left" vertical="center"/>
    </xf>
    <xf numFmtId="0" fontId="13" fillId="5" borderId="28" xfId="2" applyFont="1" applyFill="1" applyBorder="1" applyAlignment="1">
      <alignment horizontal="center" vertical="center" wrapText="1"/>
    </xf>
    <xf numFmtId="0" fontId="13" fillId="5" borderId="28" xfId="2" applyFont="1" applyFill="1" applyBorder="1" applyAlignment="1">
      <alignment vertical="center" wrapText="1"/>
    </xf>
    <xf numFmtId="0" fontId="13" fillId="5" borderId="1" xfId="2" applyFont="1" applyFill="1" applyBorder="1" applyAlignment="1">
      <alignment vertical="center" wrapText="1"/>
    </xf>
    <xf numFmtId="0" fontId="13" fillId="5" borderId="29" xfId="2" applyFont="1" applyFill="1" applyBorder="1" applyAlignment="1">
      <alignment horizontal="center" vertical="center" wrapText="1"/>
    </xf>
    <xf numFmtId="0" fontId="13" fillId="5" borderId="0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1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6" fillId="0" borderId="19" xfId="0" quotePrefix="1" applyFont="1" applyBorder="1" applyAlignment="1">
      <alignment horizontal="left" vertical="top" wrapText="1"/>
    </xf>
    <xf numFmtId="14" fontId="19" fillId="0" borderId="19" xfId="0" applyNumberFormat="1" applyFont="1" applyBorder="1" applyAlignment="1">
      <alignment horizontal="left" vertical="top" wrapText="1"/>
    </xf>
  </cellXfs>
  <cellStyles count="4">
    <cellStyle name="Normal_Functional Test Case v1.0" xfId="1"/>
    <cellStyle name="Normal_Sheet1_Vanco_CR022a1_TestCase_v0.1" xfId="2"/>
    <cellStyle name="Normale" xfId="0" builtinId="0"/>
    <cellStyle name="標準_結合試験(AllOvertheWorld)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sdc-nt2\osdc\Documents%20and%20Settings\ThoanCT\My%20Documents\Copy%20of%20DataLoadSheet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Validation"/>
    </sheetNames>
    <sheetDataSet>
      <sheetData sheetId="0" refreshError="1"/>
      <sheetData sheetId="1">
        <row r="2">
          <cell r="A2" t="str">
            <v>AFGHANISTAN</v>
          </cell>
          <cell r="B2" t="str">
            <v>MPLS Matrix</v>
          </cell>
          <cell r="C2" t="str">
            <v>MPLS, ADSL, No Contention</v>
          </cell>
        </row>
        <row r="3">
          <cell r="A3" t="str">
            <v>ALAND ISLANDS</v>
          </cell>
          <cell r="B3" t="str">
            <v>DIA</v>
          </cell>
          <cell r="C3" t="str">
            <v>MPLS, ADSL, Low Contention</v>
          </cell>
          <cell r="E3" t="str">
            <v>56Kbps</v>
          </cell>
          <cell r="F3" t="str">
            <v>56Kbps</v>
          </cell>
          <cell r="G3" t="str">
            <v>16Kbps</v>
          </cell>
          <cell r="H3" t="str">
            <v>None</v>
          </cell>
        </row>
        <row r="4">
          <cell r="A4" t="str">
            <v>ALBANIA</v>
          </cell>
          <cell r="C4" t="str">
            <v>MPLS, ADSL, Medium Contention</v>
          </cell>
          <cell r="E4" t="str">
            <v>64Kbps</v>
          </cell>
          <cell r="F4" t="str">
            <v>64Kbps</v>
          </cell>
          <cell r="G4" t="str">
            <v>32Kbps</v>
          </cell>
          <cell r="H4" t="str">
            <v>Basic</v>
          </cell>
        </row>
        <row r="5">
          <cell r="A5" t="str">
            <v>ALGERIA</v>
          </cell>
          <cell r="C5" t="str">
            <v>MPLS, ADSL, High, Contention</v>
          </cell>
          <cell r="E5" t="str">
            <v>128Kbps</v>
          </cell>
          <cell r="F5" t="str">
            <v>128Kbps</v>
          </cell>
          <cell r="G5" t="str">
            <v>48Kbps</v>
          </cell>
        </row>
        <row r="6">
          <cell r="A6" t="str">
            <v>AMERICAN SAMOA</v>
          </cell>
          <cell r="C6" t="str">
            <v>MPLS, SDSL, No Contention</v>
          </cell>
          <cell r="E6" t="str">
            <v>192Kbps</v>
          </cell>
          <cell r="F6" t="str">
            <v>192Kbps</v>
          </cell>
          <cell r="G6" t="str">
            <v>56Kbps</v>
          </cell>
        </row>
        <row r="7">
          <cell r="A7" t="str">
            <v>ANDORRA</v>
          </cell>
          <cell r="C7" t="str">
            <v>MPLS, SDSL, Low Contention</v>
          </cell>
          <cell r="E7" t="str">
            <v>256Kbps</v>
          </cell>
          <cell r="F7" t="str">
            <v>256Kbps</v>
          </cell>
          <cell r="G7" t="str">
            <v>64Kbps</v>
          </cell>
        </row>
        <row r="8">
          <cell r="A8" t="str">
            <v>ANGOLA</v>
          </cell>
          <cell r="C8" t="str">
            <v>MPLS, SDSL, Medium Contention</v>
          </cell>
          <cell r="E8" t="str">
            <v>384Kbps</v>
          </cell>
          <cell r="F8" t="str">
            <v>384Kbps</v>
          </cell>
          <cell r="G8" t="str">
            <v>96Kbps</v>
          </cell>
        </row>
        <row r="9">
          <cell r="A9" t="str">
            <v>ANGUILLA</v>
          </cell>
          <cell r="C9" t="str">
            <v>MPLS, SDSL, High Contention</v>
          </cell>
          <cell r="E9" t="str">
            <v>512Kbps</v>
          </cell>
          <cell r="F9" t="str">
            <v>512Kbps</v>
          </cell>
          <cell r="G9" t="str">
            <v>128Kbps</v>
          </cell>
        </row>
        <row r="10">
          <cell r="A10" t="str">
            <v>ANTARCTICA</v>
          </cell>
          <cell r="C10" t="str">
            <v>MPLS, Leased Line</v>
          </cell>
          <cell r="E10" t="str">
            <v>768Kbps</v>
          </cell>
          <cell r="F10" t="str">
            <v>768Kbps</v>
          </cell>
          <cell r="G10" t="str">
            <v>160Kbps</v>
          </cell>
        </row>
        <row r="11">
          <cell r="A11" t="str">
            <v>ANTIGUA AND BARBUDA</v>
          </cell>
          <cell r="C11" t="str">
            <v>MPLS, Frame Relay</v>
          </cell>
          <cell r="E11" t="str">
            <v>1Mbps</v>
          </cell>
          <cell r="F11" t="str">
            <v>1Mbps</v>
          </cell>
          <cell r="G11" t="str">
            <v>192Kbps</v>
          </cell>
        </row>
        <row r="12">
          <cell r="A12" t="str">
            <v>ARGENTINA</v>
          </cell>
          <cell r="C12" t="str">
            <v>MPLS, ATM</v>
          </cell>
          <cell r="E12" t="str">
            <v>T1</v>
          </cell>
          <cell r="F12" t="str">
            <v>1.5Mbps</v>
          </cell>
          <cell r="G12" t="str">
            <v>256Kbps</v>
          </cell>
        </row>
        <row r="13">
          <cell r="A13" t="str">
            <v>ARMENIA</v>
          </cell>
          <cell r="C13" t="str">
            <v>MPLS, Ethernet</v>
          </cell>
          <cell r="E13" t="str">
            <v>E1</v>
          </cell>
          <cell r="F13" t="str">
            <v>2Mbps</v>
          </cell>
          <cell r="G13" t="str">
            <v>320Kbps</v>
          </cell>
        </row>
        <row r="14">
          <cell r="A14" t="str">
            <v>ARUBA</v>
          </cell>
          <cell r="C14" t="str">
            <v>MPLS, Fast Ethernet</v>
          </cell>
          <cell r="E14" t="str">
            <v>2xT1</v>
          </cell>
          <cell r="F14" t="str">
            <v>3Mbps</v>
          </cell>
          <cell r="G14" t="str">
            <v>384Kbps</v>
          </cell>
        </row>
        <row r="15">
          <cell r="A15" t="str">
            <v>ASCENSION ISLAND</v>
          </cell>
          <cell r="C15" t="str">
            <v>MPLS, GigaBit Ethernet</v>
          </cell>
          <cell r="E15" t="str">
            <v>2xE1</v>
          </cell>
          <cell r="F15" t="str">
            <v>4Mbps</v>
          </cell>
          <cell r="G15" t="str">
            <v>448Kbps</v>
          </cell>
        </row>
        <row r="16">
          <cell r="A16" t="str">
            <v>AUSTRALIA</v>
          </cell>
          <cell r="C16" t="str">
            <v>MPLS, Protected Access</v>
          </cell>
          <cell r="E16" t="str">
            <v>3xT1</v>
          </cell>
          <cell r="F16" t="str">
            <v>4.5Mbps</v>
          </cell>
          <cell r="G16" t="str">
            <v>512Kbps</v>
          </cell>
        </row>
        <row r="17">
          <cell r="A17" t="str">
            <v>AUSTRIA</v>
          </cell>
          <cell r="C17" t="str">
            <v>DIA, ADSL, Business Performance, Static IP Address</v>
          </cell>
          <cell r="E17" t="str">
            <v>3xE1</v>
          </cell>
          <cell r="F17" t="str">
            <v>5Mbps</v>
          </cell>
          <cell r="G17" t="str">
            <v>768Kbps</v>
          </cell>
        </row>
        <row r="18">
          <cell r="A18" t="str">
            <v>AZERBAIJAN</v>
          </cell>
          <cell r="C18" t="str">
            <v>DIA, ADSL, Standard Performance, Static IP Address</v>
          </cell>
          <cell r="E18" t="str">
            <v>4xT1</v>
          </cell>
          <cell r="F18" t="str">
            <v>6Mbps</v>
          </cell>
          <cell r="G18" t="str">
            <v>1Mbps</v>
          </cell>
        </row>
        <row r="19">
          <cell r="A19" t="str">
            <v>BAHAMAS</v>
          </cell>
          <cell r="C19" t="str">
            <v>DIA, ADSL, Lower Performance, Dynamic IP Address</v>
          </cell>
          <cell r="E19" t="str">
            <v>4xE1</v>
          </cell>
          <cell r="F19" t="str">
            <v>8Mbps</v>
          </cell>
          <cell r="G19" t="str">
            <v>1.5Mbps</v>
          </cell>
        </row>
        <row r="20">
          <cell r="A20" t="str">
            <v>BAHRAIN</v>
          </cell>
          <cell r="C20" t="str">
            <v>DIA, ADSL, Lower Performance, Static IP Address</v>
          </cell>
          <cell r="E20" t="str">
            <v>Ethernet</v>
          </cell>
          <cell r="F20" t="str">
            <v>10Mbps</v>
          </cell>
          <cell r="G20" t="str">
            <v>2Mbps</v>
          </cell>
        </row>
        <row r="21">
          <cell r="A21" t="str">
            <v>BAKER ISLAND</v>
          </cell>
          <cell r="C21" t="str">
            <v>DIA, SDSL, Business Performance, Static IP Address</v>
          </cell>
          <cell r="E21" t="str">
            <v>E3</v>
          </cell>
          <cell r="F21" t="str">
            <v>12Mbps</v>
          </cell>
          <cell r="G21" t="str">
            <v>3Mbps</v>
          </cell>
        </row>
        <row r="22">
          <cell r="A22" t="str">
            <v>BANGLADESH</v>
          </cell>
          <cell r="C22" t="str">
            <v>DIA, SDSL, Standard Performance, Static IP Address</v>
          </cell>
          <cell r="E22" t="str">
            <v>DS3</v>
          </cell>
          <cell r="F22" t="str">
            <v>14Mbps</v>
          </cell>
          <cell r="G22" t="str">
            <v>4Mbps</v>
          </cell>
        </row>
        <row r="23">
          <cell r="A23" t="str">
            <v>BARBADOS</v>
          </cell>
          <cell r="C23" t="str">
            <v>DIA, SDSL, Lower Performance, Dynamic IP Address</v>
          </cell>
          <cell r="E23" t="str">
            <v>Fast Ethernet</v>
          </cell>
          <cell r="F23" t="str">
            <v>16Mbps</v>
          </cell>
          <cell r="G23" t="str">
            <v>4.5Mpbs</v>
          </cell>
        </row>
        <row r="24">
          <cell r="A24" t="str">
            <v>BELARUS</v>
          </cell>
          <cell r="C24" t="str">
            <v>DIA, SDSL, Lower Performance, Static IP Address</v>
          </cell>
          <cell r="E24" t="str">
            <v>STM1/OC3</v>
          </cell>
          <cell r="F24" t="str">
            <v>18Mbps</v>
          </cell>
          <cell r="G24" t="str">
            <v>5Mbps</v>
          </cell>
        </row>
        <row r="25">
          <cell r="A25" t="str">
            <v>BELGIUM</v>
          </cell>
          <cell r="C25" t="str">
            <v>DIA Leased Line</v>
          </cell>
          <cell r="E25" t="str">
            <v>Gigabit Ethernet</v>
          </cell>
          <cell r="F25" t="str">
            <v>20Mbps</v>
          </cell>
          <cell r="G25" t="str">
            <v>6Mbps</v>
          </cell>
        </row>
        <row r="26">
          <cell r="A26" t="str">
            <v>BELIZE</v>
          </cell>
          <cell r="C26" t="str">
            <v>DIA Ethernet</v>
          </cell>
          <cell r="E26" t="str">
            <v>64/128</v>
          </cell>
          <cell r="F26" t="str">
            <v>25Mbps</v>
          </cell>
          <cell r="G26" t="str">
            <v>8Mbps</v>
          </cell>
        </row>
        <row r="27">
          <cell r="A27" t="str">
            <v>BENIN</v>
          </cell>
          <cell r="C27" t="str">
            <v>DIA Fast Ethenet</v>
          </cell>
          <cell r="E27" t="str">
            <v>64/192</v>
          </cell>
          <cell r="F27" t="str">
            <v>30Mbps</v>
          </cell>
          <cell r="G27" t="str">
            <v>10Mbps</v>
          </cell>
        </row>
        <row r="28">
          <cell r="A28" t="str">
            <v>BERMUDA</v>
          </cell>
          <cell r="C28" t="str">
            <v>DIA Gigabit Ethernet</v>
          </cell>
          <cell r="E28" t="str">
            <v>64/256</v>
          </cell>
          <cell r="F28" t="str">
            <v>35Mbps</v>
          </cell>
          <cell r="G28" t="str">
            <v>12Mbps</v>
          </cell>
        </row>
        <row r="29">
          <cell r="A29" t="str">
            <v>BHUTAN</v>
          </cell>
          <cell r="C29" t="str">
            <v>DIA Protected Access</v>
          </cell>
          <cell r="E29" t="str">
            <v>64/384</v>
          </cell>
          <cell r="F29" t="str">
            <v>40Mbps</v>
          </cell>
          <cell r="G29" t="str">
            <v>14Mbps</v>
          </cell>
        </row>
        <row r="30">
          <cell r="A30" t="str">
            <v>BOLIVIA</v>
          </cell>
          <cell r="E30" t="str">
            <v>64/512</v>
          </cell>
          <cell r="F30" t="str">
            <v>45Mbps</v>
          </cell>
          <cell r="G30" t="str">
            <v>16Mbps</v>
          </cell>
        </row>
        <row r="31">
          <cell r="A31" t="str">
            <v>BOSNIA AND HERZEGOVINA</v>
          </cell>
          <cell r="E31" t="str">
            <v>64/640</v>
          </cell>
          <cell r="F31" t="str">
            <v>50Mbps</v>
          </cell>
          <cell r="G31" t="str">
            <v>18Mbps</v>
          </cell>
        </row>
        <row r="32">
          <cell r="A32" t="str">
            <v>BOTSWANA</v>
          </cell>
          <cell r="E32" t="str">
            <v>64/768</v>
          </cell>
          <cell r="F32" t="str">
            <v>60Mbps</v>
          </cell>
          <cell r="G32" t="str">
            <v>20Mbps</v>
          </cell>
        </row>
        <row r="33">
          <cell r="A33" t="str">
            <v>BOUVET ISLAND</v>
          </cell>
          <cell r="E33" t="str">
            <v>64/896</v>
          </cell>
          <cell r="F33" t="str">
            <v>70Mbps</v>
          </cell>
          <cell r="G33" t="str">
            <v>25Mbps</v>
          </cell>
        </row>
        <row r="34">
          <cell r="A34" t="str">
            <v>BRAZIL</v>
          </cell>
          <cell r="E34" t="str">
            <v>64/1024</v>
          </cell>
          <cell r="F34" t="str">
            <v>90Mbps</v>
          </cell>
          <cell r="G34" t="str">
            <v>30Mbps</v>
          </cell>
        </row>
        <row r="35">
          <cell r="A35" t="str">
            <v>BRITISH INDIAN OCEAN TERRITORY</v>
          </cell>
          <cell r="E35" t="str">
            <v>128/64</v>
          </cell>
          <cell r="F35" t="str">
            <v>100Mbps</v>
          </cell>
          <cell r="G35" t="str">
            <v>35Mbps</v>
          </cell>
        </row>
        <row r="36">
          <cell r="A36" t="str">
            <v>BRITISH VIRGIN ISLANDS</v>
          </cell>
          <cell r="E36" t="str">
            <v>128/192</v>
          </cell>
          <cell r="F36" t="str">
            <v>110Mbps</v>
          </cell>
          <cell r="G36" t="str">
            <v>40Mbps</v>
          </cell>
        </row>
        <row r="37">
          <cell r="A37" t="str">
            <v>BRUNEI</v>
          </cell>
          <cell r="E37" t="str">
            <v>128/256</v>
          </cell>
          <cell r="F37" t="str">
            <v>120Mbps</v>
          </cell>
          <cell r="G37" t="str">
            <v>45Mbps</v>
          </cell>
        </row>
        <row r="38">
          <cell r="A38" t="str">
            <v>BULGARIA</v>
          </cell>
          <cell r="E38" t="str">
            <v>128/384</v>
          </cell>
          <cell r="F38" t="str">
            <v>130Mbps</v>
          </cell>
          <cell r="G38" t="str">
            <v>50Mbps</v>
          </cell>
        </row>
        <row r="39">
          <cell r="A39" t="str">
            <v>BURKINA FASO</v>
          </cell>
          <cell r="E39" t="str">
            <v>128/512</v>
          </cell>
          <cell r="F39" t="str">
            <v>140Mbps</v>
          </cell>
          <cell r="G39" t="str">
            <v>60Mbps</v>
          </cell>
        </row>
        <row r="40">
          <cell r="A40" t="str">
            <v>BURUNDI</v>
          </cell>
          <cell r="E40" t="str">
            <v>128/640</v>
          </cell>
          <cell r="F40" t="str">
            <v>150Mbps</v>
          </cell>
          <cell r="G40" t="str">
            <v>70Mbps</v>
          </cell>
        </row>
        <row r="41">
          <cell r="A41" t="str">
            <v>CAMBODIA</v>
          </cell>
          <cell r="E41" t="str">
            <v>128/768</v>
          </cell>
          <cell r="G41" t="str">
            <v>90Mbps</v>
          </cell>
        </row>
        <row r="42">
          <cell r="A42" t="str">
            <v>CAMEROON</v>
          </cell>
          <cell r="E42" t="str">
            <v>128/896</v>
          </cell>
          <cell r="G42" t="str">
            <v>100Mbps</v>
          </cell>
        </row>
        <row r="43">
          <cell r="A43" t="str">
            <v>CANADA</v>
          </cell>
          <cell r="E43" t="str">
            <v>128/1024</v>
          </cell>
          <cell r="G43" t="str">
            <v>110Mbps</v>
          </cell>
        </row>
        <row r="44">
          <cell r="A44" t="str">
            <v>CAPE VERDE</v>
          </cell>
          <cell r="E44" t="str">
            <v>192/64</v>
          </cell>
          <cell r="G44" t="str">
            <v>120Mbps</v>
          </cell>
        </row>
        <row r="45">
          <cell r="A45" t="str">
            <v>CAYMAN ISLANDS</v>
          </cell>
          <cell r="E45" t="str">
            <v>192/128</v>
          </cell>
          <cell r="G45" t="str">
            <v>130Mbps</v>
          </cell>
        </row>
        <row r="46">
          <cell r="A46" t="str">
            <v>CENTRAL AFRICAN REPUBLIC</v>
          </cell>
          <cell r="E46" t="str">
            <v>192/192</v>
          </cell>
          <cell r="G46" t="str">
            <v>140Mbps</v>
          </cell>
        </row>
        <row r="47">
          <cell r="A47" t="str">
            <v>CHAD</v>
          </cell>
          <cell r="E47" t="str">
            <v>192/256</v>
          </cell>
          <cell r="G47" t="str">
            <v>150Mbps</v>
          </cell>
        </row>
        <row r="48">
          <cell r="A48" t="str">
            <v>CHILE</v>
          </cell>
          <cell r="E48" t="str">
            <v>192/384</v>
          </cell>
        </row>
        <row r="49">
          <cell r="A49" t="str">
            <v>CHINA</v>
          </cell>
          <cell r="E49" t="str">
            <v>192/256</v>
          </cell>
        </row>
        <row r="50">
          <cell r="A50" t="str">
            <v>CHRISTMAS ISLAND</v>
          </cell>
          <cell r="E50" t="str">
            <v>192/384</v>
          </cell>
        </row>
        <row r="51">
          <cell r="A51" t="str">
            <v>COCOS (KEELING) ISLANDS</v>
          </cell>
          <cell r="E51" t="str">
            <v>192/512</v>
          </cell>
        </row>
        <row r="52">
          <cell r="A52" t="str">
            <v>COLOMBIA</v>
          </cell>
          <cell r="E52" t="str">
            <v>192/640</v>
          </cell>
        </row>
        <row r="53">
          <cell r="A53" t="str">
            <v>COMOROS</v>
          </cell>
          <cell r="E53" t="str">
            <v>192/768</v>
          </cell>
        </row>
        <row r="54">
          <cell r="A54" t="str">
            <v>CONGO, DEM. REP.</v>
          </cell>
          <cell r="E54" t="str">
            <v>192/896</v>
          </cell>
        </row>
        <row r="55">
          <cell r="A55" t="str">
            <v>CONGO, REP.</v>
          </cell>
          <cell r="E55" t="str">
            <v>192/1024</v>
          </cell>
        </row>
        <row r="56">
          <cell r="A56" t="str">
            <v>COOK ISLANDS</v>
          </cell>
          <cell r="E56" t="str">
            <v>256/64</v>
          </cell>
        </row>
        <row r="57">
          <cell r="A57" t="str">
            <v>COSTA RICA</v>
          </cell>
          <cell r="E57" t="str">
            <v>256/128</v>
          </cell>
        </row>
        <row r="58">
          <cell r="A58" t="str">
            <v>COTE D'IVOIRE</v>
          </cell>
          <cell r="E58" t="str">
            <v>256/192</v>
          </cell>
        </row>
        <row r="59">
          <cell r="A59" t="str">
            <v>CROATIA</v>
          </cell>
          <cell r="E59" t="str">
            <v>256/384</v>
          </cell>
        </row>
        <row r="60">
          <cell r="A60" t="str">
            <v>CUBA</v>
          </cell>
          <cell r="E60" t="str">
            <v>256/512</v>
          </cell>
        </row>
        <row r="61">
          <cell r="A61" t="str">
            <v>CYPRUS</v>
          </cell>
          <cell r="E61" t="str">
            <v>256/640</v>
          </cell>
        </row>
        <row r="62">
          <cell r="A62" t="str">
            <v>CZECH REPUBLIC</v>
          </cell>
          <cell r="E62" t="str">
            <v>256/768</v>
          </cell>
        </row>
        <row r="63">
          <cell r="A63" t="str">
            <v>DENMARK</v>
          </cell>
          <cell r="E63" t="str">
            <v>256/896</v>
          </cell>
        </row>
        <row r="64">
          <cell r="A64" t="str">
            <v>DJIBOUTI</v>
          </cell>
          <cell r="E64" t="str">
            <v>256/1024</v>
          </cell>
        </row>
        <row r="65">
          <cell r="A65" t="str">
            <v>DOMINICA</v>
          </cell>
          <cell r="E65" t="str">
            <v>384/64</v>
          </cell>
        </row>
        <row r="66">
          <cell r="A66" t="str">
            <v>DOMINICAN REPUBLIC</v>
          </cell>
          <cell r="E66" t="str">
            <v>384/128</v>
          </cell>
        </row>
        <row r="67">
          <cell r="A67" t="str">
            <v>EAST TIMOR</v>
          </cell>
          <cell r="E67" t="str">
            <v>384/192</v>
          </cell>
        </row>
        <row r="68">
          <cell r="A68" t="str">
            <v>ECUADOR</v>
          </cell>
          <cell r="E68" t="str">
            <v>384/256</v>
          </cell>
        </row>
        <row r="69">
          <cell r="A69" t="str">
            <v>EGYPT</v>
          </cell>
          <cell r="E69" t="str">
            <v>384/512</v>
          </cell>
        </row>
        <row r="70">
          <cell r="A70" t="str">
            <v>EL SALVADOR</v>
          </cell>
          <cell r="E70" t="str">
            <v>384/640</v>
          </cell>
        </row>
        <row r="71">
          <cell r="A71" t="str">
            <v>EQUATORIAL GUINEA</v>
          </cell>
          <cell r="E71" t="str">
            <v>384/768</v>
          </cell>
        </row>
        <row r="72">
          <cell r="A72" t="str">
            <v>ERITREA</v>
          </cell>
          <cell r="E72" t="str">
            <v>384/896</v>
          </cell>
        </row>
        <row r="73">
          <cell r="A73" t="str">
            <v>ESTONIA</v>
          </cell>
          <cell r="E73" t="str">
            <v>384/1024</v>
          </cell>
        </row>
        <row r="74">
          <cell r="A74" t="str">
            <v>ETHIOPIA</v>
          </cell>
          <cell r="E74" t="str">
            <v>512/64</v>
          </cell>
        </row>
        <row r="75">
          <cell r="A75" t="str">
            <v>FALKLAND ISLANDS</v>
          </cell>
          <cell r="E75" t="str">
            <v>512/128</v>
          </cell>
        </row>
        <row r="76">
          <cell r="A76" t="str">
            <v>FAROE ISLANDS</v>
          </cell>
          <cell r="E76" t="str">
            <v>512/192</v>
          </cell>
        </row>
        <row r="77">
          <cell r="A77" t="str">
            <v>FIJI</v>
          </cell>
          <cell r="E77" t="str">
            <v>512/256</v>
          </cell>
        </row>
        <row r="78">
          <cell r="A78" t="str">
            <v>FINLAND</v>
          </cell>
          <cell r="E78" t="str">
            <v>512/384</v>
          </cell>
        </row>
        <row r="79">
          <cell r="A79" t="str">
            <v>FRANCE</v>
          </cell>
          <cell r="E79" t="str">
            <v>512/640</v>
          </cell>
        </row>
        <row r="80">
          <cell r="A80" t="str">
            <v>FRENCH GUIANA</v>
          </cell>
          <cell r="E80" t="str">
            <v>512/768</v>
          </cell>
        </row>
        <row r="81">
          <cell r="A81" t="str">
            <v>FRENCH POLYNESIA</v>
          </cell>
          <cell r="E81" t="str">
            <v>512/896</v>
          </cell>
        </row>
        <row r="82">
          <cell r="A82" t="str">
            <v>FRENCH SOUTHERN TERRITORIES</v>
          </cell>
          <cell r="E82" t="str">
            <v>512/1024</v>
          </cell>
        </row>
        <row r="83">
          <cell r="A83" t="str">
            <v>GABON</v>
          </cell>
          <cell r="E83" t="str">
            <v>640/64</v>
          </cell>
        </row>
        <row r="84">
          <cell r="A84" t="str">
            <v>GAMBIA, THE</v>
          </cell>
          <cell r="E84" t="str">
            <v>640/128</v>
          </cell>
        </row>
        <row r="85">
          <cell r="A85" t="str">
            <v>GEORGIA</v>
          </cell>
          <cell r="E85" t="str">
            <v>640/768</v>
          </cell>
        </row>
        <row r="86">
          <cell r="A86" t="str">
            <v>GERMANY</v>
          </cell>
          <cell r="E86" t="str">
            <v>640/896</v>
          </cell>
        </row>
        <row r="87">
          <cell r="A87" t="str">
            <v>GHANA</v>
          </cell>
          <cell r="E87" t="str">
            <v>640/1024</v>
          </cell>
        </row>
        <row r="88">
          <cell r="A88" t="str">
            <v>GIBRALTAR</v>
          </cell>
          <cell r="E88" t="str">
            <v>768/64</v>
          </cell>
        </row>
        <row r="89">
          <cell r="A89" t="str">
            <v>GREECE</v>
          </cell>
          <cell r="E89" t="str">
            <v>768/128</v>
          </cell>
        </row>
        <row r="90">
          <cell r="A90" t="str">
            <v>GREENLAND</v>
          </cell>
          <cell r="E90" t="str">
            <v>768/192</v>
          </cell>
        </row>
        <row r="91">
          <cell r="A91" t="str">
            <v>GRENADA</v>
          </cell>
          <cell r="E91" t="str">
            <v>768/256</v>
          </cell>
        </row>
        <row r="92">
          <cell r="A92" t="str">
            <v>GUADELOUPE</v>
          </cell>
          <cell r="E92" t="str">
            <v>768/384</v>
          </cell>
        </row>
        <row r="93">
          <cell r="A93" t="str">
            <v>GUAM</v>
          </cell>
          <cell r="E93" t="str">
            <v>768/512</v>
          </cell>
        </row>
        <row r="94">
          <cell r="A94" t="str">
            <v>GUATEMALA</v>
          </cell>
          <cell r="E94" t="str">
            <v>768/640</v>
          </cell>
        </row>
        <row r="95">
          <cell r="A95" t="str">
            <v>GUERNSEY</v>
          </cell>
          <cell r="E95" t="str">
            <v>768/896</v>
          </cell>
        </row>
        <row r="96">
          <cell r="A96" t="str">
            <v>GUINEA</v>
          </cell>
          <cell r="E96" t="str">
            <v>768/1024</v>
          </cell>
        </row>
        <row r="97">
          <cell r="A97" t="str">
            <v>GUINEA-BISSAU</v>
          </cell>
          <cell r="E97" t="str">
            <v>896/64</v>
          </cell>
        </row>
        <row r="98">
          <cell r="A98" t="str">
            <v>GUYANA</v>
          </cell>
          <cell r="E98" t="str">
            <v>896/128</v>
          </cell>
        </row>
        <row r="99">
          <cell r="A99" t="str">
            <v>HAITI</v>
          </cell>
          <cell r="E99" t="str">
            <v>896/192</v>
          </cell>
        </row>
        <row r="100">
          <cell r="A100" t="str">
            <v>HEARD ISLAND AND MCDONALD ISLANDS</v>
          </cell>
          <cell r="E100" t="str">
            <v>896/256</v>
          </cell>
        </row>
        <row r="101">
          <cell r="A101" t="str">
            <v>HONDURAS</v>
          </cell>
          <cell r="E101" t="str">
            <v>896/256</v>
          </cell>
        </row>
        <row r="102">
          <cell r="A102" t="str">
            <v>HONG KONG</v>
          </cell>
          <cell r="E102" t="str">
            <v>896/384</v>
          </cell>
        </row>
        <row r="103">
          <cell r="A103" t="str">
            <v>HOWLAND ISLAND</v>
          </cell>
          <cell r="E103" t="str">
            <v>896/512</v>
          </cell>
        </row>
        <row r="104">
          <cell r="A104" t="str">
            <v>HUNGARY</v>
          </cell>
          <cell r="E104" t="str">
            <v>896/640</v>
          </cell>
        </row>
        <row r="105">
          <cell r="A105" t="str">
            <v>ICELAND</v>
          </cell>
          <cell r="E105" t="str">
            <v>896/768</v>
          </cell>
        </row>
        <row r="106">
          <cell r="A106" t="str">
            <v>INDIA</v>
          </cell>
          <cell r="E106" t="str">
            <v>896/1024</v>
          </cell>
        </row>
        <row r="107">
          <cell r="A107" t="str">
            <v>INDONESIA</v>
          </cell>
          <cell r="E107" t="str">
            <v>1024/64</v>
          </cell>
        </row>
        <row r="108">
          <cell r="A108" t="str">
            <v>IRAN</v>
          </cell>
          <cell r="E108" t="str">
            <v>1024/128</v>
          </cell>
        </row>
        <row r="109">
          <cell r="A109" t="str">
            <v>IRAQ</v>
          </cell>
          <cell r="E109" t="str">
            <v>1024/192</v>
          </cell>
        </row>
        <row r="110">
          <cell r="A110" t="str">
            <v>IRELAND</v>
          </cell>
          <cell r="E110" t="str">
            <v>1024/256</v>
          </cell>
        </row>
        <row r="111">
          <cell r="A111" t="str">
            <v>ISRAEL</v>
          </cell>
          <cell r="E111" t="str">
            <v>1024/384</v>
          </cell>
        </row>
        <row r="112">
          <cell r="A112" t="str">
            <v>ITALY</v>
          </cell>
          <cell r="E112" t="str">
            <v>1024/512</v>
          </cell>
        </row>
        <row r="113">
          <cell r="A113" t="str">
            <v>JAMAICA</v>
          </cell>
          <cell r="E113" t="str">
            <v>1024/640</v>
          </cell>
        </row>
        <row r="114">
          <cell r="A114" t="str">
            <v>JAPAN</v>
          </cell>
          <cell r="E114" t="str">
            <v>1024/768</v>
          </cell>
        </row>
        <row r="115">
          <cell r="A115" t="str">
            <v>JARVIS ISLAND</v>
          </cell>
          <cell r="E115" t="str">
            <v>1024/896</v>
          </cell>
        </row>
        <row r="116">
          <cell r="A116" t="str">
            <v>JERSEY</v>
          </cell>
          <cell r="E116" t="str">
            <v>1152/64</v>
          </cell>
        </row>
        <row r="117">
          <cell r="A117" t="str">
            <v>JOHNSTON ATOLL</v>
          </cell>
          <cell r="E117" t="str">
            <v>1152/128</v>
          </cell>
        </row>
        <row r="118">
          <cell r="A118" t="str">
            <v>JORDAN</v>
          </cell>
          <cell r="E118" t="str">
            <v>1152/192</v>
          </cell>
        </row>
        <row r="119">
          <cell r="A119" t="str">
            <v>KAZAKHSTAN</v>
          </cell>
          <cell r="E119" t="str">
            <v>1152/256</v>
          </cell>
        </row>
        <row r="120">
          <cell r="A120" t="str">
            <v>KENYA</v>
          </cell>
          <cell r="E120" t="str">
            <v>1152/384</v>
          </cell>
        </row>
        <row r="121">
          <cell r="A121" t="str">
            <v>KIRIBATI</v>
          </cell>
          <cell r="E121" t="str">
            <v>1152/512</v>
          </cell>
        </row>
        <row r="122">
          <cell r="A122" t="str">
            <v>KOREA, NORTH</v>
          </cell>
          <cell r="E122" t="str">
            <v>1152/640</v>
          </cell>
        </row>
        <row r="123">
          <cell r="A123" t="str">
            <v>KOREA, SOUTH</v>
          </cell>
          <cell r="E123" t="str">
            <v>1152/768</v>
          </cell>
        </row>
        <row r="124">
          <cell r="A124" t="str">
            <v>KUWAIT</v>
          </cell>
          <cell r="E124" t="str">
            <v>1152/896</v>
          </cell>
        </row>
        <row r="125">
          <cell r="A125" t="str">
            <v>KYRGYZSTAN</v>
          </cell>
          <cell r="E125" t="str">
            <v>1152/1024</v>
          </cell>
        </row>
        <row r="126">
          <cell r="A126" t="str">
            <v>LAOS</v>
          </cell>
          <cell r="E126" t="str">
            <v>1280/64</v>
          </cell>
        </row>
        <row r="127">
          <cell r="A127" t="str">
            <v>LATVIA</v>
          </cell>
          <cell r="E127" t="str">
            <v>1280/128</v>
          </cell>
        </row>
        <row r="128">
          <cell r="A128" t="str">
            <v>LEBANON</v>
          </cell>
          <cell r="E128" t="str">
            <v>1280/192</v>
          </cell>
        </row>
        <row r="129">
          <cell r="A129" t="str">
            <v>LESOTHO</v>
          </cell>
          <cell r="E129" t="str">
            <v>1280/256</v>
          </cell>
        </row>
        <row r="130">
          <cell r="A130" t="str">
            <v>LIBERIA</v>
          </cell>
          <cell r="E130" t="str">
            <v>1280/384</v>
          </cell>
        </row>
        <row r="131">
          <cell r="A131" t="str">
            <v>LIBYA</v>
          </cell>
          <cell r="E131" t="str">
            <v>1280/512</v>
          </cell>
        </row>
        <row r="132">
          <cell r="A132" t="str">
            <v>LIECHTENSTEIN</v>
          </cell>
          <cell r="E132" t="str">
            <v>1280/640</v>
          </cell>
        </row>
        <row r="133">
          <cell r="A133" t="str">
            <v>LITHUANIA</v>
          </cell>
          <cell r="E133" t="str">
            <v>1280/768</v>
          </cell>
        </row>
        <row r="134">
          <cell r="A134" t="str">
            <v>LUXEMBOURG</v>
          </cell>
          <cell r="E134" t="str">
            <v>1280/896</v>
          </cell>
        </row>
        <row r="135">
          <cell r="A135" t="str">
            <v>MACAO</v>
          </cell>
          <cell r="E135" t="str">
            <v>1280/1024</v>
          </cell>
        </row>
        <row r="136">
          <cell r="A136" t="str">
            <v>MACEDONIA</v>
          </cell>
          <cell r="E136" t="str">
            <v>1408/64</v>
          </cell>
        </row>
        <row r="137">
          <cell r="A137" t="str">
            <v>MADAGASCAR</v>
          </cell>
          <cell r="E137" t="str">
            <v>1408/128</v>
          </cell>
        </row>
        <row r="138">
          <cell r="A138" t="str">
            <v>MALAWI</v>
          </cell>
          <cell r="E138" t="str">
            <v>1408/192</v>
          </cell>
        </row>
        <row r="139">
          <cell r="A139" t="str">
            <v>MALAYSIA</v>
          </cell>
          <cell r="E139" t="str">
            <v>1408/256</v>
          </cell>
        </row>
        <row r="140">
          <cell r="A140" t="str">
            <v>MALDIVES</v>
          </cell>
          <cell r="E140" t="str">
            <v>1408/384</v>
          </cell>
        </row>
        <row r="141">
          <cell r="A141" t="str">
            <v>MALI</v>
          </cell>
          <cell r="E141" t="str">
            <v>1408/512</v>
          </cell>
        </row>
        <row r="142">
          <cell r="A142" t="str">
            <v>MALTA</v>
          </cell>
          <cell r="E142" t="str">
            <v>1408/640</v>
          </cell>
        </row>
        <row r="143">
          <cell r="A143" t="str">
            <v>MANN</v>
          </cell>
          <cell r="E143" t="str">
            <v>1408/768</v>
          </cell>
        </row>
        <row r="144">
          <cell r="A144" t="str">
            <v>MARSHALL ISLANDS</v>
          </cell>
          <cell r="E144" t="str">
            <v>1408/896</v>
          </cell>
        </row>
        <row r="145">
          <cell r="A145" t="str">
            <v>MARTINIQUE</v>
          </cell>
          <cell r="E145" t="str">
            <v>1408/1024</v>
          </cell>
        </row>
        <row r="146">
          <cell r="A146" t="str">
            <v>MAURITANIA</v>
          </cell>
          <cell r="E146" t="str">
            <v>1536/64</v>
          </cell>
        </row>
        <row r="147">
          <cell r="A147" t="str">
            <v>MAURITIUS</v>
          </cell>
          <cell r="E147" t="str">
            <v>1536/128</v>
          </cell>
        </row>
        <row r="148">
          <cell r="A148" t="str">
            <v>MAYOTTE</v>
          </cell>
          <cell r="E148" t="str">
            <v>1536/192</v>
          </cell>
        </row>
        <row r="149">
          <cell r="A149" t="str">
            <v>MEXICO</v>
          </cell>
          <cell r="E149" t="str">
            <v>1536/256</v>
          </cell>
        </row>
        <row r="150">
          <cell r="A150" t="str">
            <v>MICRONESIA</v>
          </cell>
          <cell r="E150" t="str">
            <v>1536/384</v>
          </cell>
        </row>
        <row r="151">
          <cell r="A151" t="str">
            <v>MIDWAY ISLAND</v>
          </cell>
          <cell r="E151" t="str">
            <v>1536/512</v>
          </cell>
        </row>
        <row r="152">
          <cell r="A152" t="str">
            <v>MOLDOVA</v>
          </cell>
          <cell r="E152" t="str">
            <v>1536/640</v>
          </cell>
        </row>
        <row r="153">
          <cell r="A153" t="str">
            <v>MONACO</v>
          </cell>
          <cell r="E153" t="str">
            <v>1536/768</v>
          </cell>
        </row>
        <row r="154">
          <cell r="A154" t="str">
            <v>MONGOLIA</v>
          </cell>
          <cell r="E154" t="str">
            <v>1536/896</v>
          </cell>
        </row>
        <row r="155">
          <cell r="A155" t="str">
            <v>MONTSERRAT</v>
          </cell>
          <cell r="E155" t="str">
            <v>1536/1024</v>
          </cell>
        </row>
        <row r="156">
          <cell r="A156" t="str">
            <v>MOROCCO</v>
          </cell>
          <cell r="E156" t="str">
            <v>1664/64</v>
          </cell>
        </row>
        <row r="157">
          <cell r="A157" t="str">
            <v>MOZAMBIQUE</v>
          </cell>
          <cell r="E157" t="str">
            <v>1664/128</v>
          </cell>
        </row>
        <row r="158">
          <cell r="A158" t="str">
            <v>MYANMAR</v>
          </cell>
          <cell r="E158" t="str">
            <v>1664/192</v>
          </cell>
        </row>
        <row r="159">
          <cell r="A159" t="str">
            <v>NAMIBIA</v>
          </cell>
          <cell r="E159" t="str">
            <v>1664/256</v>
          </cell>
        </row>
        <row r="160">
          <cell r="A160" t="str">
            <v>NAURU</v>
          </cell>
          <cell r="E160" t="str">
            <v>1664/384</v>
          </cell>
        </row>
        <row r="161">
          <cell r="A161" t="str">
            <v>NAVASSA ISLAND</v>
          </cell>
          <cell r="E161" t="str">
            <v>1664/512</v>
          </cell>
        </row>
        <row r="162">
          <cell r="A162" t="str">
            <v>NEPAL</v>
          </cell>
          <cell r="E162" t="str">
            <v>1664/640</v>
          </cell>
        </row>
        <row r="163">
          <cell r="A163" t="str">
            <v>NETHERLANDS</v>
          </cell>
          <cell r="E163" t="str">
            <v>1664/768</v>
          </cell>
        </row>
        <row r="164">
          <cell r="A164" t="str">
            <v>NETHERLANDS ANTILLES</v>
          </cell>
          <cell r="E164" t="str">
            <v>1664/896</v>
          </cell>
        </row>
        <row r="165">
          <cell r="A165" t="str">
            <v>NEW CALEDONIA</v>
          </cell>
          <cell r="E165" t="str">
            <v>1664/1024</v>
          </cell>
        </row>
        <row r="166">
          <cell r="A166" t="str">
            <v>NEW ZEALAND</v>
          </cell>
          <cell r="E166" t="str">
            <v>1792/64</v>
          </cell>
        </row>
        <row r="167">
          <cell r="A167" t="str">
            <v>NICARAGUA</v>
          </cell>
          <cell r="E167" t="str">
            <v>1792/128</v>
          </cell>
        </row>
        <row r="168">
          <cell r="A168" t="str">
            <v>NIGER</v>
          </cell>
          <cell r="E168" t="str">
            <v>1792/192</v>
          </cell>
        </row>
        <row r="169">
          <cell r="A169" t="str">
            <v>NIGERIA</v>
          </cell>
          <cell r="E169" t="str">
            <v>1792/256</v>
          </cell>
        </row>
        <row r="170">
          <cell r="A170" t="str">
            <v>NIUE</v>
          </cell>
          <cell r="E170" t="str">
            <v>1792/384</v>
          </cell>
        </row>
        <row r="171">
          <cell r="A171" t="str">
            <v>NORFOLK ISLAND</v>
          </cell>
          <cell r="E171" t="str">
            <v>1792/512</v>
          </cell>
        </row>
        <row r="172">
          <cell r="A172" t="str">
            <v>NORTHERN MARIANA ISLANDS</v>
          </cell>
          <cell r="E172" t="str">
            <v>1792/640</v>
          </cell>
        </row>
        <row r="173">
          <cell r="A173" t="str">
            <v>NORWAY</v>
          </cell>
          <cell r="E173" t="str">
            <v>1792/768</v>
          </cell>
        </row>
        <row r="174">
          <cell r="A174" t="str">
            <v>OMAN</v>
          </cell>
          <cell r="E174" t="str">
            <v>1792/896</v>
          </cell>
        </row>
        <row r="175">
          <cell r="A175" t="str">
            <v>PAKISTAN</v>
          </cell>
          <cell r="E175" t="str">
            <v>1792/1024</v>
          </cell>
        </row>
        <row r="176">
          <cell r="A176" t="str">
            <v>PALAU</v>
          </cell>
          <cell r="E176" t="str">
            <v>1920/64</v>
          </cell>
        </row>
        <row r="177">
          <cell r="A177" t="str">
            <v>PALESTINIAN TERRITORY</v>
          </cell>
          <cell r="E177" t="str">
            <v xml:space="preserve">1920/128 </v>
          </cell>
        </row>
        <row r="178">
          <cell r="A178" t="str">
            <v>PALMYRA ATOLL</v>
          </cell>
          <cell r="E178" t="str">
            <v>1920/192</v>
          </cell>
        </row>
        <row r="179">
          <cell r="A179" t="str">
            <v>PANAMA</v>
          </cell>
          <cell r="E179" t="str">
            <v>1920/256</v>
          </cell>
        </row>
        <row r="180">
          <cell r="A180" t="str">
            <v>PAPUA NEW GUINEA</v>
          </cell>
          <cell r="E180" t="str">
            <v>1920/384</v>
          </cell>
        </row>
        <row r="181">
          <cell r="A181" t="str">
            <v>PARAGUAY</v>
          </cell>
          <cell r="E181" t="str">
            <v>1920/512</v>
          </cell>
        </row>
        <row r="182">
          <cell r="A182" t="str">
            <v>PERU</v>
          </cell>
          <cell r="E182" t="str">
            <v>1920/640</v>
          </cell>
        </row>
        <row r="183">
          <cell r="A183" t="str">
            <v>PHILIPPINES</v>
          </cell>
          <cell r="E183" t="str">
            <v>1920/768</v>
          </cell>
        </row>
        <row r="184">
          <cell r="A184" t="str">
            <v>PITCAIRN</v>
          </cell>
          <cell r="E184" t="str">
            <v>1920/896</v>
          </cell>
        </row>
        <row r="185">
          <cell r="A185" t="str">
            <v>POLAND</v>
          </cell>
          <cell r="E185" t="str">
            <v>1920/1024</v>
          </cell>
        </row>
        <row r="186">
          <cell r="A186" t="str">
            <v>PORTUGAL</v>
          </cell>
          <cell r="E186" t="str">
            <v>2048/64</v>
          </cell>
        </row>
        <row r="187">
          <cell r="A187" t="str">
            <v>PUERTO RICO</v>
          </cell>
          <cell r="E187" t="str">
            <v>2048/128</v>
          </cell>
        </row>
        <row r="188">
          <cell r="A188" t="str">
            <v>QATAR</v>
          </cell>
          <cell r="E188" t="str">
            <v>2048/192</v>
          </cell>
        </row>
        <row r="189">
          <cell r="A189" t="str">
            <v>REUNION</v>
          </cell>
          <cell r="E189" t="str">
            <v>2048/256</v>
          </cell>
        </row>
        <row r="190">
          <cell r="A190" t="str">
            <v>ROMANIA</v>
          </cell>
          <cell r="E190" t="str">
            <v>2048/384</v>
          </cell>
        </row>
        <row r="191">
          <cell r="A191" t="str">
            <v>RUSSIAN FEDERATION</v>
          </cell>
          <cell r="E191" t="str">
            <v>2048/512</v>
          </cell>
        </row>
        <row r="192">
          <cell r="A192" t="str">
            <v>RWANDA</v>
          </cell>
          <cell r="E192" t="str">
            <v>2048/640</v>
          </cell>
        </row>
        <row r="193">
          <cell r="A193" t="str">
            <v>SAINT HELENA</v>
          </cell>
          <cell r="E193" t="str">
            <v>2048/768</v>
          </cell>
        </row>
        <row r="194">
          <cell r="A194" t="str">
            <v>SAINT KITTS AND NEVIS</v>
          </cell>
          <cell r="E194" t="str">
            <v>2048/896</v>
          </cell>
        </row>
        <row r="195">
          <cell r="A195" t="str">
            <v>SAINT LUCIA</v>
          </cell>
          <cell r="E195" t="str">
            <v>2048/1024</v>
          </cell>
        </row>
        <row r="196">
          <cell r="A196" t="str">
            <v>SAINT PIERRE AND MIQUELON</v>
          </cell>
          <cell r="E196" t="str">
            <v>3072/64</v>
          </cell>
        </row>
        <row r="197">
          <cell r="A197" t="str">
            <v>SAINT VINCENT AND THE GRENADINES</v>
          </cell>
          <cell r="E197" t="str">
            <v>3072/128</v>
          </cell>
        </row>
        <row r="198">
          <cell r="A198" t="str">
            <v>SAMOA</v>
          </cell>
          <cell r="E198" t="str">
            <v>3072/192</v>
          </cell>
        </row>
        <row r="199">
          <cell r="A199" t="str">
            <v>SAN MARINO</v>
          </cell>
          <cell r="E199" t="str">
            <v>3072/256</v>
          </cell>
        </row>
        <row r="200">
          <cell r="A200" t="str">
            <v>SAO TOME AND PRINCIPE</v>
          </cell>
          <cell r="E200" t="str">
            <v>3072/384</v>
          </cell>
        </row>
        <row r="201">
          <cell r="A201" t="str">
            <v>SAUDI ARABIA</v>
          </cell>
          <cell r="E201" t="str">
            <v>3072/512</v>
          </cell>
        </row>
        <row r="202">
          <cell r="A202" t="str">
            <v>SENEGAL</v>
          </cell>
          <cell r="E202" t="str">
            <v>3072/640</v>
          </cell>
        </row>
        <row r="203">
          <cell r="A203" t="str">
            <v>SERBIA AND MONTENEGRO</v>
          </cell>
          <cell r="E203" t="str">
            <v>3072/768</v>
          </cell>
        </row>
        <row r="204">
          <cell r="A204" t="str">
            <v>SEYCHELLES</v>
          </cell>
          <cell r="E204" t="str">
            <v>3072/896</v>
          </cell>
        </row>
        <row r="205">
          <cell r="A205" t="str">
            <v>SIERRA LEONE</v>
          </cell>
          <cell r="E205" t="str">
            <v>3072/1024</v>
          </cell>
        </row>
        <row r="206">
          <cell r="A206" t="str">
            <v>SINGAPORE</v>
          </cell>
          <cell r="E206" t="str">
            <v>4096/64</v>
          </cell>
        </row>
        <row r="207">
          <cell r="A207" t="str">
            <v>SLOVAKIA</v>
          </cell>
          <cell r="E207" t="str">
            <v>4096/128</v>
          </cell>
        </row>
        <row r="208">
          <cell r="A208" t="str">
            <v>SLOVENIA</v>
          </cell>
          <cell r="E208" t="str">
            <v>4096/192</v>
          </cell>
        </row>
        <row r="209">
          <cell r="A209" t="str">
            <v>SOLOMON ISLANDS</v>
          </cell>
          <cell r="E209" t="str">
            <v>4096/256</v>
          </cell>
        </row>
        <row r="210">
          <cell r="A210" t="str">
            <v>SOMALIA</v>
          </cell>
          <cell r="E210" t="str">
            <v>4096/384</v>
          </cell>
        </row>
        <row r="211">
          <cell r="A211" t="str">
            <v>SOUTH AFRICA</v>
          </cell>
          <cell r="E211" t="str">
            <v>4096/512</v>
          </cell>
        </row>
        <row r="212">
          <cell r="A212" t="str">
            <v>SOUTH GEORGIA AND THE SOUTH SANDWICH ISLANDS</v>
          </cell>
          <cell r="E212" t="str">
            <v>4096/640</v>
          </cell>
        </row>
        <row r="213">
          <cell r="A213" t="str">
            <v>SPAIN</v>
          </cell>
          <cell r="E213" t="str">
            <v>4096/768</v>
          </cell>
        </row>
        <row r="214">
          <cell r="A214" t="str">
            <v>SPRATLY ISLANDS</v>
          </cell>
          <cell r="E214" t="str">
            <v>4096/896</v>
          </cell>
        </row>
        <row r="215">
          <cell r="A215" t="str">
            <v>SRI LANKA</v>
          </cell>
          <cell r="E215" t="str">
            <v>4096/1024</v>
          </cell>
        </row>
        <row r="216">
          <cell r="A216" t="str">
            <v>SUDAN</v>
          </cell>
          <cell r="E216" t="str">
            <v>64/64</v>
          </cell>
        </row>
        <row r="217">
          <cell r="A217" t="str">
            <v>SURINAME</v>
          </cell>
          <cell r="E217" t="str">
            <v>128/128</v>
          </cell>
        </row>
        <row r="218">
          <cell r="A218" t="str">
            <v>SVALBARD AND JAN MAYEN</v>
          </cell>
          <cell r="E218" t="str">
            <v>256/256</v>
          </cell>
        </row>
        <row r="219">
          <cell r="A219" t="str">
            <v>SWAZILAND</v>
          </cell>
          <cell r="E219" t="str">
            <v>384/384</v>
          </cell>
        </row>
        <row r="220">
          <cell r="A220" t="str">
            <v>SWEDEN</v>
          </cell>
          <cell r="E220" t="str">
            <v>512/512</v>
          </cell>
        </row>
        <row r="221">
          <cell r="A221" t="str">
            <v>SWITZERLAND</v>
          </cell>
          <cell r="E221" t="str">
            <v>768/768</v>
          </cell>
        </row>
        <row r="222">
          <cell r="A222" t="str">
            <v>SYRIA</v>
          </cell>
          <cell r="E222" t="str">
            <v>896/896</v>
          </cell>
        </row>
        <row r="223">
          <cell r="A223" t="str">
            <v>TAIWAN</v>
          </cell>
          <cell r="E223" t="str">
            <v>1024/1024</v>
          </cell>
        </row>
        <row r="224">
          <cell r="A224" t="str">
            <v>TAJIKISTAN</v>
          </cell>
        </row>
        <row r="225">
          <cell r="A225" t="str">
            <v>TANZANIA</v>
          </cell>
        </row>
        <row r="226">
          <cell r="A226" t="str">
            <v>THAILAND</v>
          </cell>
        </row>
        <row r="227">
          <cell r="A227" t="str">
            <v>TOGO</v>
          </cell>
        </row>
        <row r="228">
          <cell r="A228" t="str">
            <v>TOKELAU</v>
          </cell>
        </row>
        <row r="229">
          <cell r="A229" t="str">
            <v>TONGA</v>
          </cell>
        </row>
        <row r="230">
          <cell r="A230" t="str">
            <v>TRINIDAD AND TOBAGO</v>
          </cell>
        </row>
        <row r="231">
          <cell r="A231" t="str">
            <v>TRISTAN DA CUNHA</v>
          </cell>
        </row>
        <row r="232">
          <cell r="A232" t="str">
            <v>TROMELIN ISLAND</v>
          </cell>
        </row>
        <row r="233">
          <cell r="A233" t="str">
            <v>TUNISIA</v>
          </cell>
        </row>
        <row r="234">
          <cell r="A234" t="str">
            <v>TURKEY</v>
          </cell>
        </row>
        <row r="235">
          <cell r="A235" t="str">
            <v>TURKMENISTAN</v>
          </cell>
        </row>
        <row r="236">
          <cell r="A236" t="str">
            <v>TURKS AND CAICOS ISLANDS</v>
          </cell>
        </row>
        <row r="237">
          <cell r="A237" t="str">
            <v>TUVALU</v>
          </cell>
        </row>
        <row r="238">
          <cell r="A238" t="str">
            <v>UGANDA</v>
          </cell>
        </row>
        <row r="239">
          <cell r="A239" t="str">
            <v>UKRAINE</v>
          </cell>
        </row>
        <row r="240">
          <cell r="A240" t="str">
            <v>UNITED ARAB EMIRATES</v>
          </cell>
        </row>
        <row r="241">
          <cell r="A241" t="str">
            <v>UNITED KINGDOM</v>
          </cell>
        </row>
        <row r="242">
          <cell r="A242" t="str">
            <v>UNITED STATES</v>
          </cell>
        </row>
        <row r="243">
          <cell r="A243" t="str">
            <v>URUGUAY</v>
          </cell>
        </row>
        <row r="244">
          <cell r="A244" t="str">
            <v>US VIRGIN ISLANDS</v>
          </cell>
        </row>
        <row r="245">
          <cell r="A245" t="str">
            <v>UZBEKISTAN</v>
          </cell>
        </row>
        <row r="246">
          <cell r="A246" t="str">
            <v>VANUATU</v>
          </cell>
        </row>
        <row r="247">
          <cell r="A247" t="str">
            <v>VATICAN CITY</v>
          </cell>
        </row>
        <row r="248">
          <cell r="A248" t="str">
            <v>VENEZUELA</v>
          </cell>
        </row>
        <row r="249">
          <cell r="A249" t="str">
            <v>VIETNAM</v>
          </cell>
        </row>
        <row r="250">
          <cell r="A250" t="str">
            <v>WAKE ISLAND</v>
          </cell>
        </row>
        <row r="251">
          <cell r="A251" t="str">
            <v>WALLIS AND FUTUNA</v>
          </cell>
        </row>
        <row r="252">
          <cell r="A252" t="str">
            <v>WESTERN SAHARA</v>
          </cell>
        </row>
        <row r="253">
          <cell r="A253" t="str">
            <v>YEMEN</v>
          </cell>
        </row>
        <row r="254">
          <cell r="A254" t="str">
            <v>ZAMBIA</v>
          </cell>
        </row>
        <row r="255">
          <cell r="A255" t="str">
            <v>ZIMBABWE</v>
          </cell>
        </row>
      </sheetData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2"/>
  <sheetViews>
    <sheetView showGridLines="0" workbookViewId="0">
      <selection activeCell="B3" sqref="B3"/>
    </sheetView>
  </sheetViews>
  <sheetFormatPr defaultRowHeight="14.25"/>
  <cols>
    <col min="1" max="1" width="9" style="1"/>
    <col min="2" max="2" width="14.25" style="1" customWidth="1"/>
    <col min="3" max="3" width="9" style="1"/>
    <col min="4" max="4" width="15" style="1" customWidth="1"/>
    <col min="5" max="5" width="32.5" style="1" customWidth="1"/>
    <col min="6" max="6" width="23.875" style="1" customWidth="1"/>
    <col min="7" max="7" width="20.5" style="1" customWidth="1"/>
    <col min="8" max="8" width="26.75" style="1" customWidth="1"/>
    <col min="9" max="16384" width="9" style="1"/>
  </cols>
  <sheetData>
    <row r="1" spans="1:8">
      <c r="B1" s="21"/>
      <c r="C1" s="21"/>
    </row>
    <row r="2" spans="1:8" ht="22.5">
      <c r="A2" s="16"/>
      <c r="B2" s="17" t="s">
        <v>341</v>
      </c>
      <c r="C2" s="16"/>
      <c r="D2" s="16"/>
      <c r="E2" s="16"/>
      <c r="F2" s="16"/>
      <c r="G2" s="16"/>
    </row>
    <row r="3" spans="1:8">
      <c r="A3" s="16"/>
      <c r="B3" s="18" t="s">
        <v>30</v>
      </c>
      <c r="C3" s="41" t="s">
        <v>50</v>
      </c>
      <c r="D3" s="19"/>
      <c r="E3" s="16"/>
      <c r="F3" s="16"/>
      <c r="G3" s="16"/>
    </row>
    <row r="4" spans="1:8">
      <c r="A4" s="16"/>
      <c r="B4" s="18" t="s">
        <v>20</v>
      </c>
      <c r="C4" s="11">
        <v>43115</v>
      </c>
      <c r="D4" s="11"/>
      <c r="E4" s="16"/>
      <c r="F4" s="16"/>
      <c r="G4" s="16"/>
    </row>
    <row r="5" spans="1:8" ht="15" thickBot="1">
      <c r="A5" s="16"/>
      <c r="B5" s="18"/>
      <c r="C5" s="19"/>
      <c r="D5" s="19"/>
      <c r="E5" s="16"/>
      <c r="F5" s="16"/>
      <c r="G5" s="16"/>
    </row>
    <row r="6" spans="1:8" ht="14.25" customHeight="1" thickBot="1">
      <c r="A6" s="16"/>
      <c r="B6" s="18" t="s">
        <v>31</v>
      </c>
      <c r="C6" s="73" t="s">
        <v>65</v>
      </c>
      <c r="D6" s="73"/>
      <c r="E6" s="74"/>
      <c r="F6" s="16"/>
      <c r="G6" s="16"/>
    </row>
    <row r="7" spans="1:8">
      <c r="A7" s="16"/>
      <c r="B7" s="18" t="s">
        <v>32</v>
      </c>
      <c r="C7" s="73" t="s">
        <v>66</v>
      </c>
      <c r="D7" s="73"/>
      <c r="E7" s="74"/>
      <c r="F7" s="16"/>
      <c r="G7" s="16"/>
    </row>
    <row r="8" spans="1:8">
      <c r="A8" s="16"/>
      <c r="B8" s="18"/>
      <c r="C8" s="16"/>
      <c r="D8" s="16"/>
      <c r="E8" s="16"/>
      <c r="F8" s="16"/>
      <c r="G8" s="16"/>
    </row>
    <row r="9" spans="1:8">
      <c r="A9" s="16"/>
      <c r="B9" s="15"/>
      <c r="C9" s="15"/>
      <c r="D9" s="15"/>
      <c r="E9" s="15"/>
      <c r="F9" s="16"/>
      <c r="G9" s="16"/>
    </row>
    <row r="10" spans="1:8">
      <c r="B10" s="5" t="s">
        <v>22</v>
      </c>
    </row>
    <row r="11" spans="1:8" s="22" customFormat="1" ht="25.5">
      <c r="B11" s="38" t="s">
        <v>16</v>
      </c>
      <c r="C11" s="39" t="s">
        <v>23</v>
      </c>
      <c r="D11" s="39" t="s">
        <v>14</v>
      </c>
      <c r="E11" s="39" t="s">
        <v>15</v>
      </c>
      <c r="F11" s="39" t="s">
        <v>19</v>
      </c>
      <c r="G11" s="40" t="s">
        <v>18</v>
      </c>
      <c r="H11" s="60" t="s">
        <v>24</v>
      </c>
    </row>
    <row r="12" spans="1:8" s="22" customFormat="1">
      <c r="B12" s="24">
        <v>43100</v>
      </c>
      <c r="C12" s="25" t="s">
        <v>37</v>
      </c>
      <c r="D12" s="26"/>
      <c r="E12" s="27" t="s">
        <v>17</v>
      </c>
      <c r="F12" s="51" t="s">
        <v>76</v>
      </c>
      <c r="G12" s="59" t="s">
        <v>79</v>
      </c>
      <c r="H12" s="61" t="s">
        <v>77</v>
      </c>
    </row>
    <row r="13" spans="1:8" s="22" customFormat="1">
      <c r="B13" s="68">
        <v>43115</v>
      </c>
      <c r="C13" s="25" t="s">
        <v>50</v>
      </c>
      <c r="D13" s="26"/>
      <c r="E13" s="27" t="s">
        <v>78</v>
      </c>
      <c r="F13" s="51" t="s">
        <v>76</v>
      </c>
      <c r="G13" s="59" t="s">
        <v>79</v>
      </c>
      <c r="H13" s="61" t="s">
        <v>80</v>
      </c>
    </row>
    <row r="14" spans="1:8" s="23" customFormat="1" ht="12.75">
      <c r="B14" s="31"/>
      <c r="C14" s="32"/>
      <c r="D14" s="29"/>
      <c r="E14" s="29"/>
      <c r="F14" s="29"/>
      <c r="G14" s="29"/>
      <c r="H14" s="30"/>
    </row>
    <row r="15" spans="1:8" s="22" customFormat="1">
      <c r="B15" s="24"/>
      <c r="C15" s="28"/>
      <c r="D15" s="26"/>
      <c r="E15" s="29"/>
      <c r="F15" s="29"/>
      <c r="G15" s="29"/>
      <c r="H15" s="33"/>
    </row>
    <row r="16" spans="1:8" s="22" customFormat="1">
      <c r="B16" s="31"/>
      <c r="C16" s="32"/>
      <c r="D16" s="29"/>
      <c r="E16" s="29"/>
      <c r="F16" s="29"/>
      <c r="G16" s="29"/>
      <c r="H16" s="30"/>
    </row>
    <row r="17" spans="2:8" s="22" customFormat="1">
      <c r="B17" s="31"/>
      <c r="C17" s="32"/>
      <c r="D17" s="29"/>
      <c r="E17" s="29"/>
      <c r="F17" s="29"/>
      <c r="G17" s="29"/>
      <c r="H17" s="30"/>
    </row>
    <row r="18" spans="2:8" s="22" customFormat="1">
      <c r="B18" s="31"/>
      <c r="C18" s="32"/>
      <c r="D18" s="29"/>
      <c r="E18" s="29"/>
      <c r="F18" s="29"/>
      <c r="G18" s="29"/>
      <c r="H18" s="30"/>
    </row>
    <row r="19" spans="2:8" s="22" customFormat="1">
      <c r="B19" s="31"/>
      <c r="C19" s="32"/>
      <c r="D19" s="29"/>
      <c r="E19" s="29"/>
      <c r="F19" s="29"/>
      <c r="G19" s="29"/>
      <c r="H19" s="30"/>
    </row>
    <row r="20" spans="2:8" s="22" customFormat="1">
      <c r="B20" s="31"/>
      <c r="C20" s="32"/>
      <c r="D20" s="29"/>
      <c r="E20" s="29"/>
      <c r="F20" s="29"/>
      <c r="G20" s="29"/>
      <c r="H20" s="30"/>
    </row>
    <row r="21" spans="2:8" s="22" customFormat="1">
      <c r="B21" s="31"/>
      <c r="C21" s="32"/>
      <c r="D21" s="29"/>
      <c r="E21" s="29"/>
      <c r="F21" s="29"/>
      <c r="G21" s="29"/>
      <c r="H21" s="30"/>
    </row>
    <row r="22" spans="2:8" s="22" customFormat="1">
      <c r="B22" s="34"/>
      <c r="C22" s="35"/>
      <c r="D22" s="36"/>
      <c r="E22" s="36"/>
      <c r="F22" s="36"/>
      <c r="G22" s="36"/>
      <c r="H22" s="37"/>
    </row>
  </sheetData>
  <mergeCells count="2">
    <mergeCell ref="C6:E6"/>
    <mergeCell ref="C7:E7"/>
  </mergeCells>
  <phoneticPr fontId="0"/>
  <pageMargins left="0.35433070866141736" right="0.47244094488188981" top="0.51181102362204722" bottom="0.39370078740157483" header="0.51181102362204722" footer="0.15748031496062992"/>
  <pageSetup paperSize="9" scale="84" fitToHeight="0" orientation="landscape" horizontalDpi="96" verticalDpi="96" r:id="rId1"/>
  <headerFooter alignWithMargins="0">
    <oddFooter>Pagina &amp;P di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K119"/>
  <sheetViews>
    <sheetView zoomScale="70" zoomScaleNormal="70" workbookViewId="0">
      <selection activeCell="B5" sqref="B5:D5"/>
    </sheetView>
  </sheetViews>
  <sheetFormatPr defaultRowHeight="14.25" outlineLevelRow="1"/>
  <cols>
    <col min="1" max="1" width="15.75" customWidth="1"/>
    <col min="2" max="2" width="18.125" style="65" customWidth="1"/>
    <col min="3" max="3" width="42.125" customWidth="1"/>
    <col min="4" max="5" width="9" style="45"/>
    <col min="6" max="6" width="23.625" style="45" customWidth="1"/>
    <col min="7" max="7" width="18.5" hidden="1" customWidth="1"/>
    <col min="8" max="8" width="17.25" customWidth="1"/>
    <col min="9" max="9" width="9" style="67"/>
    <col min="10" max="10" width="18" style="66" customWidth="1"/>
  </cols>
  <sheetData>
    <row r="1" spans="1:11" s="2" customFormat="1" ht="12.75" customHeight="1">
      <c r="A1" s="42" t="s">
        <v>11</v>
      </c>
      <c r="B1" s="80"/>
      <c r="C1" s="80"/>
      <c r="D1" s="80"/>
      <c r="E1" s="6"/>
      <c r="F1" s="6"/>
      <c r="G1" s="6"/>
      <c r="H1" s="6"/>
      <c r="I1" s="69"/>
      <c r="J1" s="70"/>
      <c r="K1" s="7"/>
    </row>
    <row r="2" spans="1:11" s="2" customFormat="1" ht="11.25" customHeight="1" thickBot="1">
      <c r="A2" s="7"/>
      <c r="B2" s="81"/>
      <c r="C2" s="81"/>
      <c r="D2" s="81"/>
      <c r="E2" s="6"/>
      <c r="F2" s="6"/>
      <c r="G2" s="6"/>
      <c r="H2" s="6"/>
      <c r="I2" s="69"/>
      <c r="J2" s="70"/>
      <c r="K2" s="7"/>
    </row>
    <row r="3" spans="1:11" s="3" customFormat="1" ht="15" customHeight="1">
      <c r="A3" s="43" t="s">
        <v>33</v>
      </c>
      <c r="B3" s="73" t="str">
        <f>Cover!C6</f>
        <v>ALIREP (Reporting QHSE)</v>
      </c>
      <c r="C3" s="73"/>
      <c r="D3" s="74"/>
      <c r="E3" s="46"/>
      <c r="F3" s="46"/>
      <c r="G3" s="46"/>
      <c r="H3" s="86"/>
      <c r="I3" s="86"/>
      <c r="J3" s="86"/>
      <c r="K3" s="9"/>
    </row>
    <row r="4" spans="1:11" s="3" customFormat="1" ht="12.75">
      <c r="A4" s="50" t="s">
        <v>34</v>
      </c>
      <c r="B4" s="88" t="s">
        <v>67</v>
      </c>
      <c r="C4" s="89"/>
      <c r="D4" s="90"/>
      <c r="E4" s="46"/>
      <c r="F4" s="46"/>
      <c r="G4" s="46"/>
      <c r="H4" s="86"/>
      <c r="I4" s="86"/>
      <c r="J4" s="86"/>
      <c r="K4" s="9"/>
    </row>
    <row r="5" spans="1:11" s="3" customFormat="1" ht="38.25" customHeight="1">
      <c r="A5" s="50" t="s">
        <v>81</v>
      </c>
      <c r="B5" s="83" t="s">
        <v>339</v>
      </c>
      <c r="C5" s="84"/>
      <c r="D5" s="85"/>
      <c r="E5" s="46"/>
      <c r="F5" s="46"/>
      <c r="G5" s="46"/>
      <c r="H5" s="72"/>
      <c r="I5" s="72"/>
      <c r="J5" s="72"/>
      <c r="K5" s="9"/>
    </row>
    <row r="6" spans="1:11" s="3" customFormat="1" ht="15" customHeight="1">
      <c r="A6" s="12" t="s">
        <v>35</v>
      </c>
      <c r="B6" s="62">
        <f>COUNTIF(I:I,"Pass")</f>
        <v>102</v>
      </c>
      <c r="C6" s="10" t="s">
        <v>36</v>
      </c>
      <c r="D6" s="13">
        <f>COUNTIF(I:I,"Pending")</f>
        <v>0</v>
      </c>
      <c r="E6" s="72"/>
      <c r="F6" s="72"/>
      <c r="G6" s="8"/>
      <c r="H6" s="86"/>
      <c r="I6" s="86"/>
      <c r="J6" s="86"/>
      <c r="K6" s="9"/>
    </row>
    <row r="7" spans="1:11" s="3" customFormat="1" ht="15" customHeight="1" thickBot="1">
      <c r="A7" s="14" t="s">
        <v>10</v>
      </c>
      <c r="B7" s="63">
        <f>COUNTIF(I:I,"Fail")</f>
        <v>0</v>
      </c>
      <c r="C7" s="20" t="s">
        <v>26</v>
      </c>
      <c r="D7" s="44"/>
      <c r="E7" s="47"/>
      <c r="F7" s="47"/>
      <c r="G7" s="47"/>
      <c r="H7" s="86"/>
      <c r="I7" s="86"/>
      <c r="J7" s="86"/>
      <c r="K7" s="9"/>
    </row>
    <row r="8" spans="1:11" s="3" customFormat="1" ht="15" customHeight="1">
      <c r="A8" s="82"/>
      <c r="B8" s="82"/>
      <c r="C8" s="82"/>
      <c r="D8" s="82"/>
      <c r="E8" s="72"/>
      <c r="F8" s="72"/>
      <c r="G8" s="8"/>
      <c r="H8" s="8"/>
      <c r="I8" s="71"/>
      <c r="J8" s="71"/>
      <c r="K8" s="9"/>
    </row>
    <row r="9" spans="1:11" s="53" customFormat="1" ht="12" customHeight="1">
      <c r="A9" s="95" t="s">
        <v>28</v>
      </c>
      <c r="B9" s="96" t="s">
        <v>12</v>
      </c>
      <c r="C9" s="95" t="s">
        <v>21</v>
      </c>
      <c r="D9" s="98" t="s">
        <v>27</v>
      </c>
      <c r="E9" s="99"/>
      <c r="F9" s="99"/>
      <c r="G9" s="100"/>
      <c r="H9" s="91" t="s">
        <v>25</v>
      </c>
      <c r="I9" s="87" t="s">
        <v>13</v>
      </c>
      <c r="J9" s="87" t="s">
        <v>29</v>
      </c>
      <c r="K9" s="52"/>
    </row>
    <row r="10" spans="1:11" s="49" customFormat="1" ht="12" customHeight="1">
      <c r="A10" s="87"/>
      <c r="B10" s="97"/>
      <c r="C10" s="87"/>
      <c r="D10" s="92"/>
      <c r="E10" s="101"/>
      <c r="F10" s="101"/>
      <c r="G10" s="102"/>
      <c r="H10" s="92"/>
      <c r="I10" s="87"/>
      <c r="J10" s="87"/>
      <c r="K10" s="48"/>
    </row>
    <row r="11" spans="1:11" s="54" customFormat="1" ht="15">
      <c r="A11" s="93"/>
      <c r="B11" s="93"/>
      <c r="C11" s="93"/>
      <c r="D11" s="93"/>
      <c r="E11" s="93"/>
      <c r="F11" s="93"/>
      <c r="G11" s="93"/>
      <c r="H11" s="93"/>
      <c r="I11" s="93"/>
      <c r="J11" s="94"/>
    </row>
    <row r="12" spans="1:11" s="4" customFormat="1" ht="12.75">
      <c r="A12" s="77" t="s">
        <v>74</v>
      </c>
      <c r="B12" s="78"/>
      <c r="C12" s="78"/>
      <c r="D12" s="78"/>
      <c r="E12" s="78"/>
      <c r="F12" s="78"/>
      <c r="G12" s="78"/>
      <c r="H12" s="78"/>
      <c r="I12" s="78"/>
      <c r="J12" s="79"/>
    </row>
    <row r="13" spans="1:11" s="4" customFormat="1" ht="38.25" outlineLevel="1">
      <c r="A13" s="58" t="s">
        <v>3</v>
      </c>
      <c r="B13" s="64" t="s">
        <v>69</v>
      </c>
      <c r="C13" s="57" t="s">
        <v>70</v>
      </c>
      <c r="D13" s="75" t="s">
        <v>71</v>
      </c>
      <c r="E13" s="76"/>
      <c r="F13" s="76"/>
      <c r="G13" s="56"/>
      <c r="H13" s="104">
        <v>43115</v>
      </c>
      <c r="I13" s="57" t="s">
        <v>35</v>
      </c>
      <c r="J13" s="55"/>
    </row>
    <row r="14" spans="1:11" s="4" customFormat="1" ht="39.75" customHeight="1" outlineLevel="1">
      <c r="A14" s="58" t="s">
        <v>4</v>
      </c>
      <c r="B14" s="64" t="s">
        <v>72</v>
      </c>
      <c r="C14" s="57" t="s">
        <v>73</v>
      </c>
      <c r="D14" s="75" t="s">
        <v>75</v>
      </c>
      <c r="E14" s="76"/>
      <c r="F14" s="76"/>
      <c r="G14" s="56"/>
      <c r="H14" s="104">
        <v>43115</v>
      </c>
      <c r="I14" s="57" t="s">
        <v>35</v>
      </c>
      <c r="J14" s="55"/>
    </row>
    <row r="15" spans="1:11" s="4" customFormat="1" ht="48" customHeight="1" outlineLevel="1">
      <c r="A15" s="58" t="s">
        <v>5</v>
      </c>
      <c r="B15" s="64" t="s">
        <v>69</v>
      </c>
      <c r="C15" s="57" t="s">
        <v>82</v>
      </c>
      <c r="D15" s="75" t="s">
        <v>83</v>
      </c>
      <c r="E15" s="76"/>
      <c r="F15" s="76"/>
      <c r="G15" s="56"/>
      <c r="H15" s="104">
        <v>43115</v>
      </c>
      <c r="I15" s="57" t="s">
        <v>35</v>
      </c>
      <c r="J15" s="55"/>
    </row>
    <row r="16" spans="1:11" s="4" customFormat="1" ht="12.75">
      <c r="A16" s="77" t="s">
        <v>68</v>
      </c>
      <c r="B16" s="78"/>
      <c r="C16" s="78"/>
      <c r="D16" s="78"/>
      <c r="E16" s="78"/>
      <c r="F16" s="78"/>
      <c r="G16" s="78"/>
      <c r="H16" s="78"/>
      <c r="I16" s="78"/>
      <c r="J16" s="79"/>
    </row>
    <row r="17" spans="1:10" s="4" customFormat="1" ht="84.75" customHeight="1" outlineLevel="1">
      <c r="A17" s="58" t="s">
        <v>6</v>
      </c>
      <c r="B17" s="64" t="s">
        <v>93</v>
      </c>
      <c r="C17" s="57" t="s">
        <v>85</v>
      </c>
      <c r="D17" s="75" t="s">
        <v>84</v>
      </c>
      <c r="E17" s="76"/>
      <c r="F17" s="76"/>
      <c r="G17" s="56"/>
      <c r="H17" s="104">
        <v>43115</v>
      </c>
      <c r="I17" s="57" t="s">
        <v>35</v>
      </c>
      <c r="J17" s="55"/>
    </row>
    <row r="18" spans="1:10" s="4" customFormat="1" ht="84.75" customHeight="1" outlineLevel="1">
      <c r="A18" s="58" t="s">
        <v>7</v>
      </c>
      <c r="B18" s="64" t="s">
        <v>93</v>
      </c>
      <c r="C18" s="57" t="s">
        <v>91</v>
      </c>
      <c r="D18" s="75" t="s">
        <v>92</v>
      </c>
      <c r="E18" s="76"/>
      <c r="F18" s="76"/>
      <c r="G18" s="56"/>
      <c r="H18" s="104">
        <v>43115</v>
      </c>
      <c r="I18" s="57" t="s">
        <v>35</v>
      </c>
      <c r="J18" s="55"/>
    </row>
    <row r="19" spans="1:10" s="4" customFormat="1" ht="84.75" customHeight="1" outlineLevel="1">
      <c r="A19" s="58" t="s">
        <v>8</v>
      </c>
      <c r="B19" s="64" t="s">
        <v>93</v>
      </c>
      <c r="C19" s="57" t="s">
        <v>86</v>
      </c>
      <c r="D19" s="75" t="s">
        <v>88</v>
      </c>
      <c r="E19" s="76"/>
      <c r="F19" s="76"/>
      <c r="G19" s="56"/>
      <c r="H19" s="104">
        <v>43115</v>
      </c>
      <c r="I19" s="57" t="s">
        <v>35</v>
      </c>
      <c r="J19" s="55" t="s">
        <v>87</v>
      </c>
    </row>
    <row r="20" spans="1:10" s="4" customFormat="1" ht="84.75" customHeight="1" outlineLevel="1">
      <c r="A20" s="58" t="s">
        <v>9</v>
      </c>
      <c r="B20" s="64" t="s">
        <v>93</v>
      </c>
      <c r="C20" s="57" t="s">
        <v>89</v>
      </c>
      <c r="D20" s="75" t="s">
        <v>90</v>
      </c>
      <c r="E20" s="76"/>
      <c r="F20" s="76"/>
      <c r="G20" s="56"/>
      <c r="H20" s="104">
        <v>43115</v>
      </c>
      <c r="I20" s="57" t="s">
        <v>35</v>
      </c>
      <c r="J20" s="55"/>
    </row>
    <row r="21" spans="1:10" s="4" customFormat="1" ht="84.75" customHeight="1" outlineLevel="1">
      <c r="A21" s="58" t="s">
        <v>38</v>
      </c>
      <c r="B21" s="64" t="s">
        <v>93</v>
      </c>
      <c r="C21" s="57" t="s">
        <v>91</v>
      </c>
      <c r="D21" s="75" t="s">
        <v>94</v>
      </c>
      <c r="E21" s="76"/>
      <c r="F21" s="76"/>
      <c r="G21" s="56"/>
      <c r="H21" s="104">
        <v>43115</v>
      </c>
      <c r="I21" s="57" t="s">
        <v>35</v>
      </c>
      <c r="J21" s="55"/>
    </row>
    <row r="22" spans="1:10" s="4" customFormat="1" ht="84.75" customHeight="1" outlineLevel="1">
      <c r="A22" s="58" t="s">
        <v>39</v>
      </c>
      <c r="B22" s="64" t="s">
        <v>93</v>
      </c>
      <c r="C22" s="57" t="s">
        <v>96</v>
      </c>
      <c r="D22" s="75" t="s">
        <v>92</v>
      </c>
      <c r="E22" s="76"/>
      <c r="F22" s="76"/>
      <c r="G22" s="56"/>
      <c r="H22" s="104">
        <v>43115</v>
      </c>
      <c r="I22" s="57" t="s">
        <v>35</v>
      </c>
      <c r="J22" s="55"/>
    </row>
    <row r="23" spans="1:10" s="4" customFormat="1" ht="84.75" customHeight="1" outlineLevel="1">
      <c r="A23" s="58" t="s">
        <v>40</v>
      </c>
      <c r="B23" s="64" t="s">
        <v>93</v>
      </c>
      <c r="C23" s="57" t="s">
        <v>95</v>
      </c>
      <c r="D23" s="75" t="s">
        <v>90</v>
      </c>
      <c r="E23" s="76"/>
      <c r="F23" s="76"/>
      <c r="G23" s="56"/>
      <c r="H23" s="104">
        <v>43115</v>
      </c>
      <c r="I23" s="57" t="s">
        <v>35</v>
      </c>
      <c r="J23" s="55"/>
    </row>
    <row r="24" spans="1:10" s="4" customFormat="1" ht="84.75" customHeight="1" outlineLevel="1">
      <c r="A24" s="58" t="s">
        <v>41</v>
      </c>
      <c r="B24" s="64" t="s">
        <v>93</v>
      </c>
      <c r="C24" s="57" t="s">
        <v>96</v>
      </c>
      <c r="D24" s="75" t="s">
        <v>97</v>
      </c>
      <c r="E24" s="76"/>
      <c r="F24" s="76"/>
      <c r="G24" s="56"/>
      <c r="H24" s="104">
        <v>43115</v>
      </c>
      <c r="I24" s="57" t="s">
        <v>35</v>
      </c>
      <c r="J24" s="55"/>
    </row>
    <row r="25" spans="1:10" s="4" customFormat="1" ht="84.75" customHeight="1" outlineLevel="1">
      <c r="A25" s="58" t="s">
        <v>42</v>
      </c>
      <c r="B25" s="64" t="s">
        <v>93</v>
      </c>
      <c r="C25" s="57" t="s">
        <v>98</v>
      </c>
      <c r="D25" s="75" t="s">
        <v>99</v>
      </c>
      <c r="E25" s="76"/>
      <c r="F25" s="76"/>
      <c r="G25" s="56"/>
      <c r="H25" s="104">
        <v>43115</v>
      </c>
      <c r="I25" s="57" t="s">
        <v>35</v>
      </c>
      <c r="J25" s="55"/>
    </row>
    <row r="26" spans="1:10" s="4" customFormat="1" ht="84.75" customHeight="1" outlineLevel="1">
      <c r="A26" s="58" t="s">
        <v>43</v>
      </c>
      <c r="B26" s="64" t="s">
        <v>93</v>
      </c>
      <c r="C26" s="57" t="s">
        <v>100</v>
      </c>
      <c r="D26" s="75" t="s">
        <v>101</v>
      </c>
      <c r="E26" s="76"/>
      <c r="F26" s="76"/>
      <c r="G26" s="56"/>
      <c r="H26" s="104">
        <v>43115</v>
      </c>
      <c r="I26" s="57" t="s">
        <v>35</v>
      </c>
      <c r="J26" s="55"/>
    </row>
    <row r="27" spans="1:10" s="4" customFormat="1" ht="84.75" customHeight="1" outlineLevel="1">
      <c r="A27" s="58" t="s">
        <v>44</v>
      </c>
      <c r="B27" s="64" t="s">
        <v>93</v>
      </c>
      <c r="C27" s="57" t="s">
        <v>102</v>
      </c>
      <c r="D27" s="75" t="s">
        <v>103</v>
      </c>
      <c r="E27" s="76"/>
      <c r="F27" s="76"/>
      <c r="G27" s="56"/>
      <c r="H27" s="104">
        <v>43115</v>
      </c>
      <c r="I27" s="57" t="s">
        <v>35</v>
      </c>
      <c r="J27" s="55"/>
    </row>
    <row r="28" spans="1:10" s="4" customFormat="1" ht="84.75" customHeight="1" outlineLevel="1">
      <c r="A28" s="58" t="s">
        <v>45</v>
      </c>
      <c r="B28" s="64" t="s">
        <v>93</v>
      </c>
      <c r="C28" s="57" t="s">
        <v>104</v>
      </c>
      <c r="D28" s="75" t="s">
        <v>105</v>
      </c>
      <c r="E28" s="76"/>
      <c r="F28" s="76"/>
      <c r="G28" s="56"/>
      <c r="H28" s="104">
        <v>43115</v>
      </c>
      <c r="I28" s="57" t="s">
        <v>35</v>
      </c>
      <c r="J28" s="55"/>
    </row>
    <row r="29" spans="1:10" s="4" customFormat="1" ht="84.75" customHeight="1" outlineLevel="1">
      <c r="A29" s="58" t="s">
        <v>0</v>
      </c>
      <c r="B29" s="64" t="s">
        <v>93</v>
      </c>
      <c r="C29" s="57" t="s">
        <v>102</v>
      </c>
      <c r="D29" s="75" t="s">
        <v>103</v>
      </c>
      <c r="E29" s="76"/>
      <c r="F29" s="76"/>
      <c r="G29" s="56"/>
      <c r="H29" s="104">
        <v>43115</v>
      </c>
      <c r="I29" s="57" t="s">
        <v>35</v>
      </c>
      <c r="J29" s="55"/>
    </row>
    <row r="30" spans="1:10" s="4" customFormat="1" ht="84.75" customHeight="1" outlineLevel="1">
      <c r="A30" s="58" t="s">
        <v>1</v>
      </c>
      <c r="B30" s="64" t="s">
        <v>93</v>
      </c>
      <c r="C30" s="57" t="s">
        <v>106</v>
      </c>
      <c r="D30" s="75" t="s">
        <v>107</v>
      </c>
      <c r="E30" s="76"/>
      <c r="F30" s="76"/>
      <c r="G30" s="56"/>
      <c r="H30" s="104">
        <v>43115</v>
      </c>
      <c r="I30" s="57" t="s">
        <v>35</v>
      </c>
      <c r="J30" s="55"/>
    </row>
    <row r="31" spans="1:10" s="4" customFormat="1" ht="84.75" customHeight="1" outlineLevel="1">
      <c r="A31" s="58" t="s">
        <v>2</v>
      </c>
      <c r="B31" s="64" t="s">
        <v>93</v>
      </c>
      <c r="C31" s="57" t="s">
        <v>95</v>
      </c>
      <c r="D31" s="75" t="s">
        <v>90</v>
      </c>
      <c r="E31" s="76"/>
      <c r="F31" s="76"/>
      <c r="G31" s="56"/>
      <c r="H31" s="104">
        <v>43115</v>
      </c>
      <c r="I31" s="57" t="s">
        <v>35</v>
      </c>
      <c r="J31" s="55"/>
    </row>
    <row r="32" spans="1:10" s="4" customFormat="1" ht="84.75" customHeight="1" outlineLevel="1">
      <c r="A32" s="58" t="s">
        <v>46</v>
      </c>
      <c r="B32" s="64" t="s">
        <v>93</v>
      </c>
      <c r="C32" s="57" t="s">
        <v>96</v>
      </c>
      <c r="D32" s="75" t="s">
        <v>97</v>
      </c>
      <c r="E32" s="76"/>
      <c r="F32" s="76"/>
      <c r="G32" s="56"/>
      <c r="H32" s="104">
        <v>43115</v>
      </c>
      <c r="I32" s="57" t="s">
        <v>35</v>
      </c>
      <c r="J32" s="55"/>
    </row>
    <row r="33" spans="1:10" s="4" customFormat="1" ht="84.75" customHeight="1" outlineLevel="1">
      <c r="A33" s="58" t="s">
        <v>47</v>
      </c>
      <c r="B33" s="64" t="s">
        <v>93</v>
      </c>
      <c r="C33" s="57" t="s">
        <v>108</v>
      </c>
      <c r="D33" s="75" t="s">
        <v>90</v>
      </c>
      <c r="E33" s="76"/>
      <c r="F33" s="76"/>
      <c r="G33" s="56"/>
      <c r="H33" s="104">
        <v>43115</v>
      </c>
      <c r="I33" s="57" t="s">
        <v>35</v>
      </c>
      <c r="J33" s="55"/>
    </row>
    <row r="34" spans="1:10" s="4" customFormat="1" ht="84.75" customHeight="1" outlineLevel="1">
      <c r="A34" s="58" t="s">
        <v>48</v>
      </c>
      <c r="B34" s="64" t="s">
        <v>93</v>
      </c>
      <c r="C34" s="57" t="s">
        <v>96</v>
      </c>
      <c r="D34" s="75" t="s">
        <v>97</v>
      </c>
      <c r="E34" s="76"/>
      <c r="F34" s="76"/>
      <c r="G34" s="56"/>
      <c r="H34" s="104">
        <v>43115</v>
      </c>
      <c r="I34" s="57" t="s">
        <v>35</v>
      </c>
      <c r="J34" s="55"/>
    </row>
    <row r="35" spans="1:10" s="4" customFormat="1" ht="84.75" customHeight="1" outlineLevel="1">
      <c r="A35" s="58" t="s">
        <v>49</v>
      </c>
      <c r="B35" s="64" t="s">
        <v>93</v>
      </c>
      <c r="C35" s="57" t="s">
        <v>98</v>
      </c>
      <c r="D35" s="75" t="s">
        <v>99</v>
      </c>
      <c r="E35" s="76"/>
      <c r="F35" s="76"/>
      <c r="G35" s="56"/>
      <c r="H35" s="104">
        <v>43115</v>
      </c>
      <c r="I35" s="57" t="s">
        <v>35</v>
      </c>
      <c r="J35" s="55"/>
    </row>
    <row r="36" spans="1:10" s="4" customFormat="1" ht="84.75" customHeight="1" outlineLevel="1">
      <c r="A36" s="58" t="s">
        <v>51</v>
      </c>
      <c r="B36" s="64" t="s">
        <v>93</v>
      </c>
      <c r="C36" s="57" t="s">
        <v>100</v>
      </c>
      <c r="D36" s="75" t="s">
        <v>101</v>
      </c>
      <c r="E36" s="76"/>
      <c r="F36" s="76"/>
      <c r="G36" s="56"/>
      <c r="H36" s="104">
        <v>43115</v>
      </c>
      <c r="I36" s="57" t="s">
        <v>35</v>
      </c>
      <c r="J36" s="55"/>
    </row>
    <row r="37" spans="1:10" s="4" customFormat="1" ht="84.75" customHeight="1" outlineLevel="1">
      <c r="A37" s="58" t="s">
        <v>52</v>
      </c>
      <c r="B37" s="64" t="s">
        <v>93</v>
      </c>
      <c r="C37" s="57" t="s">
        <v>102</v>
      </c>
      <c r="D37" s="75" t="s">
        <v>103</v>
      </c>
      <c r="E37" s="76"/>
      <c r="F37" s="76"/>
      <c r="G37" s="56"/>
      <c r="H37" s="104">
        <v>43115</v>
      </c>
      <c r="I37" s="57" t="s">
        <v>35</v>
      </c>
      <c r="J37" s="55"/>
    </row>
    <row r="38" spans="1:10" s="4" customFormat="1" ht="84.75" customHeight="1" outlineLevel="1">
      <c r="A38" s="58" t="s">
        <v>53</v>
      </c>
      <c r="B38" s="64" t="s">
        <v>93</v>
      </c>
      <c r="C38" s="57" t="s">
        <v>104</v>
      </c>
      <c r="D38" s="75" t="s">
        <v>105</v>
      </c>
      <c r="E38" s="76"/>
      <c r="F38" s="76"/>
      <c r="G38" s="56"/>
      <c r="H38" s="104">
        <v>43115</v>
      </c>
      <c r="I38" s="57" t="s">
        <v>35</v>
      </c>
      <c r="J38" s="55"/>
    </row>
    <row r="39" spans="1:10" s="4" customFormat="1" ht="84.75" customHeight="1" outlineLevel="1">
      <c r="A39" s="58" t="s">
        <v>54</v>
      </c>
      <c r="B39" s="64" t="s">
        <v>93</v>
      </c>
      <c r="C39" s="57" t="s">
        <v>102</v>
      </c>
      <c r="D39" s="75" t="s">
        <v>103</v>
      </c>
      <c r="E39" s="76"/>
      <c r="F39" s="76"/>
      <c r="G39" s="56"/>
      <c r="H39" s="104">
        <v>43115</v>
      </c>
      <c r="I39" s="57" t="s">
        <v>35</v>
      </c>
      <c r="J39" s="55"/>
    </row>
    <row r="40" spans="1:10" s="4" customFormat="1" ht="84.75" customHeight="1" outlineLevel="1">
      <c r="A40" s="58" t="s">
        <v>55</v>
      </c>
      <c r="B40" s="64" t="s">
        <v>93</v>
      </c>
      <c r="C40" s="57" t="s">
        <v>106</v>
      </c>
      <c r="D40" s="75" t="s">
        <v>107</v>
      </c>
      <c r="E40" s="76"/>
      <c r="F40" s="76"/>
      <c r="G40" s="56"/>
      <c r="H40" s="104">
        <v>43115</v>
      </c>
      <c r="I40" s="57" t="s">
        <v>35</v>
      </c>
      <c r="J40" s="55"/>
    </row>
    <row r="41" spans="1:10" s="4" customFormat="1" ht="84.75" customHeight="1" outlineLevel="1">
      <c r="A41" s="58" t="s">
        <v>56</v>
      </c>
      <c r="B41" s="64" t="s">
        <v>93</v>
      </c>
      <c r="C41" s="57" t="s">
        <v>108</v>
      </c>
      <c r="D41" s="75" t="s">
        <v>90</v>
      </c>
      <c r="E41" s="76"/>
      <c r="F41" s="76"/>
      <c r="G41" s="56"/>
      <c r="H41" s="104">
        <v>43115</v>
      </c>
      <c r="I41" s="57" t="s">
        <v>35</v>
      </c>
      <c r="J41" s="55"/>
    </row>
    <row r="42" spans="1:10" s="4" customFormat="1" ht="84.75" customHeight="1" outlineLevel="1">
      <c r="A42" s="58" t="s">
        <v>57</v>
      </c>
      <c r="B42" s="64" t="s">
        <v>93</v>
      </c>
      <c r="C42" s="57" t="s">
        <v>96</v>
      </c>
      <c r="D42" s="75" t="s">
        <v>97</v>
      </c>
      <c r="E42" s="76"/>
      <c r="F42" s="76"/>
      <c r="G42" s="56"/>
      <c r="H42" s="104">
        <v>43115</v>
      </c>
      <c r="I42" s="57" t="s">
        <v>35</v>
      </c>
      <c r="J42" s="55"/>
    </row>
    <row r="43" spans="1:10" s="4" customFormat="1" ht="84.75" customHeight="1" outlineLevel="1">
      <c r="A43" s="58" t="s">
        <v>58</v>
      </c>
      <c r="B43" s="64" t="s">
        <v>93</v>
      </c>
      <c r="C43" s="57" t="s">
        <v>109</v>
      </c>
      <c r="D43" s="75" t="s">
        <v>90</v>
      </c>
      <c r="E43" s="76"/>
      <c r="F43" s="76"/>
      <c r="G43" s="56"/>
      <c r="H43" s="104">
        <v>43115</v>
      </c>
      <c r="I43" s="57" t="s">
        <v>35</v>
      </c>
      <c r="J43" s="55"/>
    </row>
    <row r="44" spans="1:10" s="4" customFormat="1" ht="84.75" customHeight="1" outlineLevel="1">
      <c r="A44" s="58" t="s">
        <v>59</v>
      </c>
      <c r="B44" s="64" t="s">
        <v>93</v>
      </c>
      <c r="C44" s="57" t="s">
        <v>96</v>
      </c>
      <c r="D44" s="75" t="s">
        <v>97</v>
      </c>
      <c r="E44" s="76"/>
      <c r="F44" s="76"/>
      <c r="G44" s="56"/>
      <c r="H44" s="104">
        <v>43115</v>
      </c>
      <c r="I44" s="57" t="s">
        <v>35</v>
      </c>
      <c r="J44" s="55"/>
    </row>
    <row r="45" spans="1:10" s="4" customFormat="1" ht="84.75" customHeight="1" outlineLevel="1">
      <c r="A45" s="58" t="s">
        <v>60</v>
      </c>
      <c r="B45" s="64" t="s">
        <v>93</v>
      </c>
      <c r="C45" s="57" t="s">
        <v>98</v>
      </c>
      <c r="D45" s="75" t="s">
        <v>99</v>
      </c>
      <c r="E45" s="76"/>
      <c r="F45" s="76"/>
      <c r="G45" s="56"/>
      <c r="H45" s="104">
        <v>43115</v>
      </c>
      <c r="I45" s="57" t="s">
        <v>35</v>
      </c>
      <c r="J45" s="55"/>
    </row>
    <row r="46" spans="1:10" s="4" customFormat="1" ht="84.75" customHeight="1" outlineLevel="1">
      <c r="A46" s="58" t="s">
        <v>61</v>
      </c>
      <c r="B46" s="64" t="s">
        <v>93</v>
      </c>
      <c r="C46" s="57" t="s">
        <v>100</v>
      </c>
      <c r="D46" s="75" t="s">
        <v>101</v>
      </c>
      <c r="E46" s="76"/>
      <c r="F46" s="76"/>
      <c r="G46" s="56"/>
      <c r="H46" s="104">
        <v>43115</v>
      </c>
      <c r="I46" s="57" t="s">
        <v>35</v>
      </c>
      <c r="J46" s="55"/>
    </row>
    <row r="47" spans="1:10" s="4" customFormat="1" ht="84.75" customHeight="1" outlineLevel="1">
      <c r="A47" s="58" t="s">
        <v>62</v>
      </c>
      <c r="B47" s="64" t="s">
        <v>93</v>
      </c>
      <c r="C47" s="57" t="s">
        <v>102</v>
      </c>
      <c r="D47" s="75" t="s">
        <v>103</v>
      </c>
      <c r="E47" s="76"/>
      <c r="F47" s="76"/>
      <c r="G47" s="56"/>
      <c r="H47" s="104">
        <v>43115</v>
      </c>
      <c r="I47" s="57" t="s">
        <v>35</v>
      </c>
      <c r="J47" s="55"/>
    </row>
    <row r="48" spans="1:10" s="4" customFormat="1" ht="84.75" customHeight="1" outlineLevel="1">
      <c r="A48" s="58" t="s">
        <v>63</v>
      </c>
      <c r="B48" s="64" t="s">
        <v>93</v>
      </c>
      <c r="C48" s="57" t="s">
        <v>104</v>
      </c>
      <c r="D48" s="75" t="s">
        <v>105</v>
      </c>
      <c r="E48" s="76"/>
      <c r="F48" s="76"/>
      <c r="G48" s="56"/>
      <c r="H48" s="104">
        <v>43115</v>
      </c>
      <c r="I48" s="57" t="s">
        <v>35</v>
      </c>
      <c r="J48" s="55"/>
    </row>
    <row r="49" spans="1:10" s="4" customFormat="1" ht="84.75" customHeight="1" outlineLevel="1">
      <c r="A49" s="58" t="s">
        <v>64</v>
      </c>
      <c r="B49" s="64" t="s">
        <v>93</v>
      </c>
      <c r="C49" s="57" t="s">
        <v>102</v>
      </c>
      <c r="D49" s="75" t="s">
        <v>103</v>
      </c>
      <c r="E49" s="76"/>
      <c r="F49" s="76"/>
      <c r="G49" s="56"/>
      <c r="H49" s="104">
        <v>43115</v>
      </c>
      <c r="I49" s="57" t="s">
        <v>35</v>
      </c>
      <c r="J49" s="55"/>
    </row>
    <row r="50" spans="1:10" s="4" customFormat="1" ht="84.75" customHeight="1" outlineLevel="1">
      <c r="A50" s="58" t="s">
        <v>111</v>
      </c>
      <c r="B50" s="64" t="s">
        <v>93</v>
      </c>
      <c r="C50" s="57" t="s">
        <v>106</v>
      </c>
      <c r="D50" s="75" t="s">
        <v>107</v>
      </c>
      <c r="E50" s="76"/>
      <c r="F50" s="76"/>
      <c r="G50" s="56"/>
      <c r="H50" s="104">
        <v>43115</v>
      </c>
      <c r="I50" s="57" t="s">
        <v>35</v>
      </c>
      <c r="J50" s="55"/>
    </row>
    <row r="51" spans="1:10" s="4" customFormat="1" ht="84.75" customHeight="1" outlineLevel="1">
      <c r="A51" s="58" t="s">
        <v>112</v>
      </c>
      <c r="B51" s="64" t="s">
        <v>93</v>
      </c>
      <c r="C51" s="57" t="s">
        <v>109</v>
      </c>
      <c r="D51" s="75" t="s">
        <v>90</v>
      </c>
      <c r="E51" s="76"/>
      <c r="F51" s="76"/>
      <c r="G51" s="56"/>
      <c r="H51" s="104">
        <v>43115</v>
      </c>
      <c r="I51" s="57" t="s">
        <v>35</v>
      </c>
      <c r="J51" s="55"/>
    </row>
    <row r="52" spans="1:10" s="4" customFormat="1" ht="84.75" customHeight="1" outlineLevel="1">
      <c r="A52" s="58" t="s">
        <v>113</v>
      </c>
      <c r="B52" s="64" t="s">
        <v>93</v>
      </c>
      <c r="C52" s="57" t="s">
        <v>96</v>
      </c>
      <c r="D52" s="75" t="s">
        <v>97</v>
      </c>
      <c r="E52" s="76"/>
      <c r="F52" s="76"/>
      <c r="G52" s="56"/>
      <c r="H52" s="104">
        <v>43115</v>
      </c>
      <c r="I52" s="57" t="s">
        <v>35</v>
      </c>
      <c r="J52" s="55"/>
    </row>
    <row r="53" spans="1:10" s="4" customFormat="1" ht="84.75" customHeight="1" outlineLevel="1">
      <c r="A53" s="58" t="s">
        <v>114</v>
      </c>
      <c r="B53" s="64" t="s">
        <v>93</v>
      </c>
      <c r="C53" s="57" t="s">
        <v>108</v>
      </c>
      <c r="D53" s="75" t="s">
        <v>90</v>
      </c>
      <c r="E53" s="76"/>
      <c r="F53" s="76"/>
      <c r="G53" s="56"/>
      <c r="H53" s="104">
        <v>43115</v>
      </c>
      <c r="I53" s="57" t="s">
        <v>35</v>
      </c>
      <c r="J53" s="55"/>
    </row>
    <row r="54" spans="1:10" s="4" customFormat="1" ht="84.75" customHeight="1" outlineLevel="1">
      <c r="A54" s="58" t="s">
        <v>115</v>
      </c>
      <c r="B54" s="64" t="s">
        <v>93</v>
      </c>
      <c r="C54" s="57" t="s">
        <v>96</v>
      </c>
      <c r="D54" s="75" t="s">
        <v>97</v>
      </c>
      <c r="E54" s="76"/>
      <c r="F54" s="76"/>
      <c r="G54" s="56"/>
      <c r="H54" s="104">
        <v>43115</v>
      </c>
      <c r="I54" s="57" t="s">
        <v>35</v>
      </c>
      <c r="J54" s="55"/>
    </row>
    <row r="55" spans="1:10" s="4" customFormat="1" ht="84.75" customHeight="1" outlineLevel="1">
      <c r="A55" s="58" t="s">
        <v>116</v>
      </c>
      <c r="B55" s="64" t="s">
        <v>93</v>
      </c>
      <c r="C55" s="57" t="s">
        <v>98</v>
      </c>
      <c r="D55" s="75" t="s">
        <v>99</v>
      </c>
      <c r="E55" s="76"/>
      <c r="F55" s="76"/>
      <c r="G55" s="56"/>
      <c r="H55" s="104">
        <v>43115</v>
      </c>
      <c r="I55" s="57" t="s">
        <v>35</v>
      </c>
      <c r="J55" s="55"/>
    </row>
    <row r="56" spans="1:10" s="4" customFormat="1" ht="84.75" customHeight="1" outlineLevel="1">
      <c r="A56" s="58" t="s">
        <v>117</v>
      </c>
      <c r="B56" s="64" t="s">
        <v>93</v>
      </c>
      <c r="C56" s="57" t="s">
        <v>100</v>
      </c>
      <c r="D56" s="75" t="s">
        <v>101</v>
      </c>
      <c r="E56" s="76"/>
      <c r="F56" s="76"/>
      <c r="G56" s="56"/>
      <c r="H56" s="104">
        <v>43115</v>
      </c>
      <c r="I56" s="57" t="s">
        <v>35</v>
      </c>
      <c r="J56" s="55"/>
    </row>
    <row r="57" spans="1:10" s="4" customFormat="1" ht="84.75" customHeight="1" outlineLevel="1">
      <c r="A57" s="58" t="s">
        <v>118</v>
      </c>
      <c r="B57" s="64" t="s">
        <v>93</v>
      </c>
      <c r="C57" s="57" t="s">
        <v>102</v>
      </c>
      <c r="D57" s="75" t="s">
        <v>103</v>
      </c>
      <c r="E57" s="76"/>
      <c r="F57" s="76"/>
      <c r="G57" s="56"/>
      <c r="H57" s="104">
        <v>43115</v>
      </c>
      <c r="I57" s="57" t="s">
        <v>35</v>
      </c>
      <c r="J57" s="55"/>
    </row>
    <row r="58" spans="1:10" s="4" customFormat="1" ht="84.75" customHeight="1" outlineLevel="1">
      <c r="A58" s="58" t="s">
        <v>119</v>
      </c>
      <c r="B58" s="64" t="s">
        <v>93</v>
      </c>
      <c r="C58" s="57" t="s">
        <v>104</v>
      </c>
      <c r="D58" s="75" t="s">
        <v>105</v>
      </c>
      <c r="E58" s="76"/>
      <c r="F58" s="76"/>
      <c r="G58" s="56"/>
      <c r="H58" s="104">
        <v>43115</v>
      </c>
      <c r="I58" s="57" t="s">
        <v>35</v>
      </c>
      <c r="J58" s="55"/>
    </row>
    <row r="59" spans="1:10" s="4" customFormat="1" ht="84.75" customHeight="1" outlineLevel="1">
      <c r="A59" s="58" t="s">
        <v>120</v>
      </c>
      <c r="B59" s="64" t="s">
        <v>93</v>
      </c>
      <c r="C59" s="57" t="s">
        <v>102</v>
      </c>
      <c r="D59" s="75" t="s">
        <v>103</v>
      </c>
      <c r="E59" s="76"/>
      <c r="F59" s="76"/>
      <c r="G59" s="56"/>
      <c r="H59" s="104">
        <v>43115</v>
      </c>
      <c r="I59" s="57" t="s">
        <v>35</v>
      </c>
      <c r="J59" s="55"/>
    </row>
    <row r="60" spans="1:10" s="4" customFormat="1" ht="84.75" customHeight="1" outlineLevel="1">
      <c r="A60" s="58" t="s">
        <v>121</v>
      </c>
      <c r="B60" s="64" t="s">
        <v>93</v>
      </c>
      <c r="C60" s="57" t="s">
        <v>106</v>
      </c>
      <c r="D60" s="75" t="s">
        <v>107</v>
      </c>
      <c r="E60" s="76"/>
      <c r="F60" s="76"/>
      <c r="G60" s="56"/>
      <c r="H60" s="104">
        <v>43115</v>
      </c>
      <c r="I60" s="57" t="s">
        <v>35</v>
      </c>
      <c r="J60" s="55"/>
    </row>
    <row r="61" spans="1:10" s="4" customFormat="1" ht="84.75" customHeight="1" outlineLevel="1">
      <c r="A61" s="58" t="s">
        <v>122</v>
      </c>
      <c r="B61" s="64" t="s">
        <v>93</v>
      </c>
      <c r="C61" s="57" t="s">
        <v>108</v>
      </c>
      <c r="D61" s="75" t="s">
        <v>90</v>
      </c>
      <c r="E61" s="76"/>
      <c r="F61" s="76"/>
      <c r="G61" s="56"/>
      <c r="H61" s="104">
        <v>43115</v>
      </c>
      <c r="I61" s="57" t="s">
        <v>35</v>
      </c>
      <c r="J61" s="55"/>
    </row>
    <row r="62" spans="1:10" s="4" customFormat="1" ht="84.75" customHeight="1" outlineLevel="1">
      <c r="A62" s="58" t="s">
        <v>123</v>
      </c>
      <c r="B62" s="64" t="s">
        <v>93</v>
      </c>
      <c r="C62" s="57" t="s">
        <v>96</v>
      </c>
      <c r="D62" s="75" t="s">
        <v>97</v>
      </c>
      <c r="E62" s="76"/>
      <c r="F62" s="76"/>
      <c r="G62" s="56"/>
      <c r="H62" s="104">
        <v>43115</v>
      </c>
      <c r="I62" s="57" t="s">
        <v>35</v>
      </c>
      <c r="J62" s="55"/>
    </row>
    <row r="63" spans="1:10" s="4" customFormat="1" ht="84.75" customHeight="1" outlineLevel="1">
      <c r="A63" s="58" t="s">
        <v>124</v>
      </c>
      <c r="B63" s="64" t="s">
        <v>93</v>
      </c>
      <c r="C63" s="57" t="s">
        <v>109</v>
      </c>
      <c r="D63" s="75" t="s">
        <v>90</v>
      </c>
      <c r="E63" s="76"/>
      <c r="F63" s="76"/>
      <c r="G63" s="56"/>
      <c r="H63" s="104">
        <v>43115</v>
      </c>
      <c r="I63" s="57" t="s">
        <v>35</v>
      </c>
      <c r="J63" s="55"/>
    </row>
    <row r="64" spans="1:10" s="4" customFormat="1" ht="84.75" customHeight="1" outlineLevel="1">
      <c r="A64" s="58" t="s">
        <v>125</v>
      </c>
      <c r="B64" s="64" t="s">
        <v>93</v>
      </c>
      <c r="C64" s="57" t="s">
        <v>96</v>
      </c>
      <c r="D64" s="75" t="s">
        <v>97</v>
      </c>
      <c r="E64" s="76"/>
      <c r="F64" s="76"/>
      <c r="G64" s="56"/>
      <c r="H64" s="104">
        <v>43115</v>
      </c>
      <c r="I64" s="57" t="s">
        <v>35</v>
      </c>
      <c r="J64" s="55"/>
    </row>
    <row r="65" spans="1:10" s="4" customFormat="1" ht="84.75" customHeight="1" outlineLevel="1">
      <c r="A65" s="58" t="s">
        <v>126</v>
      </c>
      <c r="B65" s="64" t="s">
        <v>93</v>
      </c>
      <c r="C65" s="57" t="s">
        <v>98</v>
      </c>
      <c r="D65" s="75" t="s">
        <v>99</v>
      </c>
      <c r="E65" s="76"/>
      <c r="F65" s="76"/>
      <c r="G65" s="56"/>
      <c r="H65" s="104">
        <v>43115</v>
      </c>
      <c r="I65" s="57" t="s">
        <v>35</v>
      </c>
      <c r="J65" s="55"/>
    </row>
    <row r="66" spans="1:10" s="4" customFormat="1" ht="84.75" customHeight="1" outlineLevel="1">
      <c r="A66" s="58" t="s">
        <v>127</v>
      </c>
      <c r="B66" s="64" t="s">
        <v>93</v>
      </c>
      <c r="C66" s="57" t="s">
        <v>100</v>
      </c>
      <c r="D66" s="75" t="s">
        <v>101</v>
      </c>
      <c r="E66" s="76"/>
      <c r="F66" s="76"/>
      <c r="G66" s="56"/>
      <c r="H66" s="104">
        <v>43115</v>
      </c>
      <c r="I66" s="57" t="s">
        <v>35</v>
      </c>
      <c r="J66" s="55"/>
    </row>
    <row r="67" spans="1:10" s="4" customFormat="1" ht="84.75" customHeight="1" outlineLevel="1">
      <c r="A67" s="58" t="s">
        <v>128</v>
      </c>
      <c r="B67" s="64" t="s">
        <v>93</v>
      </c>
      <c r="C67" s="57" t="s">
        <v>102</v>
      </c>
      <c r="D67" s="75" t="s">
        <v>103</v>
      </c>
      <c r="E67" s="76"/>
      <c r="F67" s="76"/>
      <c r="G67" s="56"/>
      <c r="H67" s="104">
        <v>43115</v>
      </c>
      <c r="I67" s="57" t="s">
        <v>35</v>
      </c>
      <c r="J67" s="55"/>
    </row>
    <row r="68" spans="1:10" s="4" customFormat="1" ht="84.75" customHeight="1" outlineLevel="1">
      <c r="A68" s="58" t="s">
        <v>129</v>
      </c>
      <c r="B68" s="64" t="s">
        <v>93</v>
      </c>
      <c r="C68" s="57" t="s">
        <v>104</v>
      </c>
      <c r="D68" s="75" t="s">
        <v>105</v>
      </c>
      <c r="E68" s="76"/>
      <c r="F68" s="76"/>
      <c r="G68" s="56"/>
      <c r="H68" s="104">
        <v>43115</v>
      </c>
      <c r="I68" s="57" t="s">
        <v>35</v>
      </c>
      <c r="J68" s="55"/>
    </row>
    <row r="69" spans="1:10" s="4" customFormat="1" ht="84.75" customHeight="1" outlineLevel="1">
      <c r="A69" s="58" t="s">
        <v>130</v>
      </c>
      <c r="B69" s="64" t="s">
        <v>93</v>
      </c>
      <c r="C69" s="57" t="s">
        <v>102</v>
      </c>
      <c r="D69" s="75" t="s">
        <v>103</v>
      </c>
      <c r="E69" s="76"/>
      <c r="F69" s="76"/>
      <c r="G69" s="56"/>
      <c r="H69" s="104">
        <v>43115</v>
      </c>
      <c r="I69" s="57" t="s">
        <v>35</v>
      </c>
      <c r="J69" s="55"/>
    </row>
    <row r="70" spans="1:10" s="4" customFormat="1" ht="84.75" customHeight="1" outlineLevel="1">
      <c r="A70" s="58" t="s">
        <v>131</v>
      </c>
      <c r="B70" s="64" t="s">
        <v>93</v>
      </c>
      <c r="C70" s="57" t="s">
        <v>106</v>
      </c>
      <c r="D70" s="75" t="s">
        <v>107</v>
      </c>
      <c r="E70" s="76"/>
      <c r="F70" s="76"/>
      <c r="G70" s="56"/>
      <c r="H70" s="104">
        <v>43115</v>
      </c>
      <c r="I70" s="57" t="s">
        <v>35</v>
      </c>
      <c r="J70" s="55"/>
    </row>
    <row r="71" spans="1:10" s="4" customFormat="1" ht="84.75" customHeight="1" outlineLevel="1">
      <c r="A71" s="58" t="s">
        <v>132</v>
      </c>
      <c r="B71" s="64" t="s">
        <v>93</v>
      </c>
      <c r="C71" s="57" t="s">
        <v>109</v>
      </c>
      <c r="D71" s="75" t="s">
        <v>90</v>
      </c>
      <c r="E71" s="76"/>
      <c r="F71" s="76"/>
      <c r="G71" s="56"/>
      <c r="H71" s="104">
        <v>43115</v>
      </c>
      <c r="I71" s="57" t="s">
        <v>35</v>
      </c>
      <c r="J71" s="55"/>
    </row>
    <row r="72" spans="1:10" s="4" customFormat="1" ht="84.75" customHeight="1" outlineLevel="1">
      <c r="A72" s="58" t="s">
        <v>133</v>
      </c>
      <c r="B72" s="64" t="s">
        <v>93</v>
      </c>
      <c r="C72" s="57" t="s">
        <v>96</v>
      </c>
      <c r="D72" s="75" t="s">
        <v>97</v>
      </c>
      <c r="E72" s="76"/>
      <c r="F72" s="76"/>
      <c r="G72" s="56"/>
      <c r="H72" s="104">
        <v>43115</v>
      </c>
      <c r="I72" s="57" t="s">
        <v>35</v>
      </c>
      <c r="J72" s="55"/>
    </row>
    <row r="73" spans="1:10" s="4" customFormat="1" ht="84.75" customHeight="1" outlineLevel="1">
      <c r="A73" s="58" t="s">
        <v>134</v>
      </c>
      <c r="B73" s="64" t="s">
        <v>93</v>
      </c>
      <c r="C73" s="57" t="s">
        <v>110</v>
      </c>
      <c r="D73" s="75" t="s">
        <v>90</v>
      </c>
      <c r="E73" s="76"/>
      <c r="F73" s="76"/>
      <c r="G73" s="56"/>
      <c r="H73" s="104">
        <v>43115</v>
      </c>
      <c r="I73" s="57" t="s">
        <v>35</v>
      </c>
      <c r="J73" s="55"/>
    </row>
    <row r="74" spans="1:10" s="4" customFormat="1" ht="84.75" customHeight="1" outlineLevel="1">
      <c r="A74" s="58" t="s">
        <v>135</v>
      </c>
      <c r="B74" s="64" t="s">
        <v>93</v>
      </c>
      <c r="C74" s="57" t="s">
        <v>96</v>
      </c>
      <c r="D74" s="75" t="s">
        <v>97</v>
      </c>
      <c r="E74" s="76"/>
      <c r="F74" s="76"/>
      <c r="G74" s="56"/>
      <c r="H74" s="104">
        <v>43115</v>
      </c>
      <c r="I74" s="57" t="s">
        <v>35</v>
      </c>
      <c r="J74" s="55"/>
    </row>
    <row r="75" spans="1:10" s="4" customFormat="1" ht="84.75" customHeight="1" outlineLevel="1">
      <c r="A75" s="58" t="s">
        <v>136</v>
      </c>
      <c r="B75" s="64" t="s">
        <v>93</v>
      </c>
      <c r="C75" s="57" t="s">
        <v>98</v>
      </c>
      <c r="D75" s="75" t="s">
        <v>99</v>
      </c>
      <c r="E75" s="76"/>
      <c r="F75" s="76"/>
      <c r="G75" s="56"/>
      <c r="H75" s="104">
        <v>43115</v>
      </c>
      <c r="I75" s="57" t="s">
        <v>35</v>
      </c>
      <c r="J75" s="55"/>
    </row>
    <row r="76" spans="1:10" s="4" customFormat="1" ht="84.75" customHeight="1" outlineLevel="1">
      <c r="A76" s="58" t="s">
        <v>137</v>
      </c>
      <c r="B76" s="64" t="s">
        <v>93</v>
      </c>
      <c r="C76" s="57" t="s">
        <v>100</v>
      </c>
      <c r="D76" s="75" t="s">
        <v>101</v>
      </c>
      <c r="E76" s="76"/>
      <c r="F76" s="76"/>
      <c r="G76" s="56"/>
      <c r="H76" s="104">
        <v>43115</v>
      </c>
      <c r="I76" s="57" t="s">
        <v>35</v>
      </c>
      <c r="J76" s="55"/>
    </row>
    <row r="77" spans="1:10" s="4" customFormat="1" ht="84.75" customHeight="1" outlineLevel="1">
      <c r="A77" s="58" t="s">
        <v>138</v>
      </c>
      <c r="B77" s="64" t="s">
        <v>93</v>
      </c>
      <c r="C77" s="57" t="s">
        <v>102</v>
      </c>
      <c r="D77" s="75" t="s">
        <v>103</v>
      </c>
      <c r="E77" s="76"/>
      <c r="F77" s="76"/>
      <c r="G77" s="56"/>
      <c r="H77" s="104">
        <v>43115</v>
      </c>
      <c r="I77" s="57" t="s">
        <v>35</v>
      </c>
      <c r="J77" s="55"/>
    </row>
    <row r="78" spans="1:10" s="4" customFormat="1" ht="84.75" customHeight="1" outlineLevel="1">
      <c r="A78" s="58" t="s">
        <v>139</v>
      </c>
      <c r="B78" s="64" t="s">
        <v>93</v>
      </c>
      <c r="C78" s="57" t="s">
        <v>104</v>
      </c>
      <c r="D78" s="75" t="s">
        <v>105</v>
      </c>
      <c r="E78" s="76"/>
      <c r="F78" s="76"/>
      <c r="G78" s="56"/>
      <c r="H78" s="104">
        <v>43115</v>
      </c>
      <c r="I78" s="57" t="s">
        <v>35</v>
      </c>
      <c r="J78" s="55"/>
    </row>
    <row r="79" spans="1:10" s="4" customFormat="1" ht="84.75" customHeight="1" outlineLevel="1">
      <c r="A79" s="58" t="s">
        <v>140</v>
      </c>
      <c r="B79" s="64" t="s">
        <v>93</v>
      </c>
      <c r="C79" s="57" t="s">
        <v>102</v>
      </c>
      <c r="D79" s="75" t="s">
        <v>103</v>
      </c>
      <c r="E79" s="76"/>
      <c r="F79" s="76"/>
      <c r="G79" s="56"/>
      <c r="H79" s="104">
        <v>43115</v>
      </c>
      <c r="I79" s="57" t="s">
        <v>35</v>
      </c>
      <c r="J79" s="55"/>
    </row>
    <row r="80" spans="1:10" s="4" customFormat="1" ht="84.75" customHeight="1" outlineLevel="1">
      <c r="A80" s="58" t="s">
        <v>141</v>
      </c>
      <c r="B80" s="64" t="s">
        <v>93</v>
      </c>
      <c r="C80" s="57" t="s">
        <v>106</v>
      </c>
      <c r="D80" s="75" t="s">
        <v>107</v>
      </c>
      <c r="E80" s="76"/>
      <c r="F80" s="76"/>
      <c r="G80" s="56"/>
      <c r="H80" s="104">
        <v>43115</v>
      </c>
      <c r="I80" s="57" t="s">
        <v>35</v>
      </c>
      <c r="J80" s="55"/>
    </row>
    <row r="81" spans="1:10" s="4" customFormat="1" ht="84.75" customHeight="1" outlineLevel="1">
      <c r="A81" s="58" t="s">
        <v>142</v>
      </c>
      <c r="B81" s="64" t="s">
        <v>93</v>
      </c>
      <c r="C81" s="57" t="s">
        <v>110</v>
      </c>
      <c r="D81" s="75" t="s">
        <v>90</v>
      </c>
      <c r="E81" s="76"/>
      <c r="F81" s="76"/>
      <c r="G81" s="56"/>
      <c r="H81" s="104">
        <v>43115</v>
      </c>
      <c r="I81" s="57" t="s">
        <v>35</v>
      </c>
      <c r="J81" s="55"/>
    </row>
    <row r="82" spans="1:10" s="4" customFormat="1" ht="84.75" customHeight="1" outlineLevel="1">
      <c r="A82" s="58" t="s">
        <v>143</v>
      </c>
      <c r="B82" s="64" t="s">
        <v>93</v>
      </c>
      <c r="C82" s="57" t="s">
        <v>96</v>
      </c>
      <c r="D82" s="75" t="s">
        <v>97</v>
      </c>
      <c r="E82" s="76"/>
      <c r="F82" s="76"/>
      <c r="G82" s="56"/>
      <c r="H82" s="104">
        <v>43115</v>
      </c>
      <c r="I82" s="57" t="s">
        <v>35</v>
      </c>
      <c r="J82" s="55"/>
    </row>
    <row r="83" spans="1:10" s="4" customFormat="1" ht="12.75">
      <c r="A83" s="77" t="s">
        <v>146</v>
      </c>
      <c r="B83" s="78"/>
      <c r="C83" s="78"/>
      <c r="D83" s="78"/>
      <c r="E83" s="78"/>
      <c r="F83" s="78"/>
      <c r="G83" s="78"/>
      <c r="H83" s="78"/>
      <c r="I83" s="78"/>
      <c r="J83" s="79"/>
    </row>
    <row r="84" spans="1:10" s="4" customFormat="1" ht="84.75" customHeight="1" outlineLevel="1">
      <c r="A84" s="58" t="s">
        <v>144</v>
      </c>
      <c r="B84" s="64" t="s">
        <v>147</v>
      </c>
      <c r="C84" s="57" t="s">
        <v>148</v>
      </c>
      <c r="D84" s="75" t="s">
        <v>149</v>
      </c>
      <c r="E84" s="76"/>
      <c r="F84" s="76"/>
      <c r="G84" s="56"/>
      <c r="H84" s="104">
        <v>43115</v>
      </c>
      <c r="I84" s="57" t="s">
        <v>35</v>
      </c>
      <c r="J84" s="55"/>
    </row>
    <row r="85" spans="1:10" s="4" customFormat="1" ht="84.75" customHeight="1" outlineLevel="1">
      <c r="A85" s="58" t="s">
        <v>168</v>
      </c>
      <c r="B85" s="64" t="s">
        <v>156</v>
      </c>
      <c r="C85" s="57" t="s">
        <v>150</v>
      </c>
      <c r="D85" s="75" t="s">
        <v>151</v>
      </c>
      <c r="E85" s="76"/>
      <c r="F85" s="76"/>
      <c r="G85" s="56"/>
      <c r="H85" s="104">
        <v>43115</v>
      </c>
      <c r="I85" s="57" t="s">
        <v>35</v>
      </c>
      <c r="J85" s="55"/>
    </row>
    <row r="86" spans="1:10" s="4" customFormat="1" ht="84.75" customHeight="1" outlineLevel="1">
      <c r="A86" s="58" t="s">
        <v>169</v>
      </c>
      <c r="B86" s="64" t="s">
        <v>147</v>
      </c>
      <c r="C86" s="57" t="s">
        <v>148</v>
      </c>
      <c r="D86" s="75" t="s">
        <v>149</v>
      </c>
      <c r="E86" s="76"/>
      <c r="F86" s="76"/>
      <c r="G86" s="56"/>
      <c r="H86" s="104">
        <v>43115</v>
      </c>
      <c r="I86" s="57" t="s">
        <v>35</v>
      </c>
      <c r="J86" s="55"/>
    </row>
    <row r="87" spans="1:10" s="4" customFormat="1" ht="84.75" customHeight="1" outlineLevel="1">
      <c r="A87" s="58" t="s">
        <v>170</v>
      </c>
      <c r="B87" s="64" t="s">
        <v>157</v>
      </c>
      <c r="C87" s="57" t="s">
        <v>152</v>
      </c>
      <c r="D87" s="75" t="s">
        <v>153</v>
      </c>
      <c r="E87" s="76"/>
      <c r="F87" s="76"/>
      <c r="G87" s="56"/>
      <c r="H87" s="104">
        <v>43115</v>
      </c>
      <c r="I87" s="57" t="s">
        <v>35</v>
      </c>
      <c r="J87" s="55"/>
    </row>
    <row r="88" spans="1:10" s="4" customFormat="1" ht="84.75" customHeight="1" outlineLevel="1">
      <c r="A88" s="58" t="s">
        <v>171</v>
      </c>
      <c r="B88" s="64" t="s">
        <v>157</v>
      </c>
      <c r="C88" s="57" t="s">
        <v>104</v>
      </c>
      <c r="D88" s="75" t="s">
        <v>105</v>
      </c>
      <c r="E88" s="76"/>
      <c r="F88" s="76"/>
      <c r="G88" s="56"/>
      <c r="H88" s="104">
        <v>43115</v>
      </c>
      <c r="I88" s="57" t="s">
        <v>35</v>
      </c>
      <c r="J88" s="55"/>
    </row>
    <row r="89" spans="1:10" s="4" customFormat="1" ht="84.75" customHeight="1" outlineLevel="1">
      <c r="A89" s="58" t="s">
        <v>172</v>
      </c>
      <c r="B89" s="64" t="s">
        <v>147</v>
      </c>
      <c r="C89" s="57" t="s">
        <v>148</v>
      </c>
      <c r="D89" s="75" t="s">
        <v>149</v>
      </c>
      <c r="E89" s="76"/>
      <c r="F89" s="76"/>
      <c r="G89" s="56"/>
      <c r="H89" s="104">
        <v>43115</v>
      </c>
      <c r="I89" s="57" t="s">
        <v>35</v>
      </c>
      <c r="J89" s="55"/>
    </row>
    <row r="90" spans="1:10" s="4" customFormat="1" ht="84.75" customHeight="1" outlineLevel="1">
      <c r="A90" s="58" t="s">
        <v>173</v>
      </c>
      <c r="B90" s="64" t="s">
        <v>157</v>
      </c>
      <c r="C90" s="57" t="s">
        <v>152</v>
      </c>
      <c r="D90" s="75" t="s">
        <v>153</v>
      </c>
      <c r="E90" s="76"/>
      <c r="F90" s="76"/>
      <c r="G90" s="56"/>
      <c r="H90" s="104">
        <v>43115</v>
      </c>
      <c r="I90" s="57" t="s">
        <v>35</v>
      </c>
      <c r="J90" s="55"/>
    </row>
    <row r="91" spans="1:10" s="4" customFormat="1" ht="84.75" customHeight="1" outlineLevel="1">
      <c r="A91" s="58" t="s">
        <v>174</v>
      </c>
      <c r="B91" s="64" t="s">
        <v>157</v>
      </c>
      <c r="C91" s="57" t="s">
        <v>106</v>
      </c>
      <c r="D91" s="75" t="s">
        <v>154</v>
      </c>
      <c r="E91" s="76"/>
      <c r="F91" s="76"/>
      <c r="G91" s="56"/>
      <c r="H91" s="104">
        <v>43115</v>
      </c>
      <c r="I91" s="57" t="s">
        <v>35</v>
      </c>
      <c r="J91" s="55"/>
    </row>
    <row r="92" spans="1:10" s="4" customFormat="1" ht="84.75" customHeight="1" outlineLevel="1">
      <c r="A92" s="58" t="s">
        <v>177</v>
      </c>
      <c r="B92" s="64" t="s">
        <v>93</v>
      </c>
      <c r="C92" s="57" t="s">
        <v>155</v>
      </c>
      <c r="D92" s="75"/>
      <c r="E92" s="76"/>
      <c r="F92" s="76"/>
      <c r="G92" s="56"/>
      <c r="H92" s="104">
        <v>43115</v>
      </c>
      <c r="I92" s="57" t="s">
        <v>35</v>
      </c>
      <c r="J92" s="55"/>
    </row>
    <row r="93" spans="1:10" s="4" customFormat="1" ht="84.75" customHeight="1" outlineLevel="1">
      <c r="A93" s="58" t="s">
        <v>180</v>
      </c>
      <c r="B93" s="64" t="s">
        <v>147</v>
      </c>
      <c r="C93" s="57" t="s">
        <v>148</v>
      </c>
      <c r="D93" s="75" t="s">
        <v>149</v>
      </c>
      <c r="E93" s="76"/>
      <c r="F93" s="76"/>
      <c r="G93" s="56"/>
      <c r="H93" s="104">
        <v>43115</v>
      </c>
      <c r="I93" s="57" t="s">
        <v>35</v>
      </c>
      <c r="J93" s="55"/>
    </row>
    <row r="94" spans="1:10" s="4" customFormat="1" ht="12.75">
      <c r="A94" s="77" t="s">
        <v>145</v>
      </c>
      <c r="B94" s="78"/>
      <c r="C94" s="78"/>
      <c r="D94" s="78"/>
      <c r="E94" s="78"/>
      <c r="F94" s="78"/>
      <c r="G94" s="78"/>
      <c r="H94" s="78"/>
      <c r="I94" s="78"/>
      <c r="J94" s="79"/>
    </row>
    <row r="95" spans="1:10" s="4" customFormat="1" ht="84.75" customHeight="1" outlineLevel="1">
      <c r="A95" s="58" t="s">
        <v>181</v>
      </c>
      <c r="B95" s="64" t="s">
        <v>147</v>
      </c>
      <c r="C95" s="57" t="s">
        <v>148</v>
      </c>
      <c r="D95" s="75" t="s">
        <v>149</v>
      </c>
      <c r="E95" s="76"/>
      <c r="F95" s="76"/>
      <c r="G95" s="56"/>
      <c r="H95" s="104">
        <v>43115</v>
      </c>
      <c r="I95" s="57" t="s">
        <v>35</v>
      </c>
      <c r="J95" s="55"/>
    </row>
    <row r="96" spans="1:10" s="4" customFormat="1" ht="84.75" customHeight="1" outlineLevel="1">
      <c r="A96" s="58" t="s">
        <v>182</v>
      </c>
      <c r="B96" s="64" t="s">
        <v>158</v>
      </c>
      <c r="C96" s="57" t="s">
        <v>159</v>
      </c>
      <c r="D96" s="75" t="s">
        <v>151</v>
      </c>
      <c r="E96" s="76"/>
      <c r="F96" s="76"/>
      <c r="G96" s="56"/>
      <c r="H96" s="104">
        <v>43115</v>
      </c>
      <c r="I96" s="57" t="s">
        <v>35</v>
      </c>
      <c r="J96" s="55"/>
    </row>
    <row r="97" spans="1:10" s="4" customFormat="1" ht="84.75" customHeight="1" outlineLevel="1">
      <c r="A97" s="58" t="s">
        <v>183</v>
      </c>
      <c r="B97" s="64" t="s">
        <v>158</v>
      </c>
      <c r="C97" s="57" t="s">
        <v>160</v>
      </c>
      <c r="D97" s="75" t="s">
        <v>161</v>
      </c>
      <c r="E97" s="76"/>
      <c r="F97" s="76"/>
      <c r="G97" s="56"/>
      <c r="H97" s="104">
        <v>43115</v>
      </c>
      <c r="I97" s="57" t="s">
        <v>35</v>
      </c>
      <c r="J97" s="55"/>
    </row>
    <row r="98" spans="1:10" s="4" customFormat="1" ht="84.75" customHeight="1" outlineLevel="1">
      <c r="A98" s="58" t="s">
        <v>184</v>
      </c>
      <c r="B98" s="64" t="s">
        <v>158</v>
      </c>
      <c r="C98" s="57" t="s">
        <v>162</v>
      </c>
      <c r="D98" s="75" t="s">
        <v>105</v>
      </c>
      <c r="E98" s="76"/>
      <c r="F98" s="76"/>
      <c r="G98" s="56"/>
      <c r="H98" s="104">
        <v>43115</v>
      </c>
      <c r="I98" s="57" t="s">
        <v>35</v>
      </c>
      <c r="J98" s="55"/>
    </row>
    <row r="99" spans="1:10" s="4" customFormat="1" ht="84.75" customHeight="1" outlineLevel="1">
      <c r="A99" s="58" t="s">
        <v>185</v>
      </c>
      <c r="B99" s="64" t="s">
        <v>158</v>
      </c>
      <c r="C99" s="57" t="s">
        <v>160</v>
      </c>
      <c r="D99" s="75" t="s">
        <v>161</v>
      </c>
      <c r="E99" s="76"/>
      <c r="F99" s="76"/>
      <c r="G99" s="56"/>
      <c r="H99" s="104">
        <v>43115</v>
      </c>
      <c r="I99" s="57" t="s">
        <v>35</v>
      </c>
      <c r="J99" s="55"/>
    </row>
    <row r="100" spans="1:10" s="4" customFormat="1" ht="84.75" customHeight="1" outlineLevel="1">
      <c r="A100" s="58" t="s">
        <v>186</v>
      </c>
      <c r="B100" s="64" t="s">
        <v>158</v>
      </c>
      <c r="C100" s="57" t="s">
        <v>163</v>
      </c>
      <c r="D100" s="75" t="s">
        <v>164</v>
      </c>
      <c r="E100" s="76"/>
      <c r="F100" s="76"/>
      <c r="G100" s="56"/>
      <c r="H100" s="104">
        <v>43115</v>
      </c>
      <c r="I100" s="57" t="s">
        <v>35</v>
      </c>
      <c r="J100" s="55"/>
    </row>
    <row r="101" spans="1:10" s="4" customFormat="1" ht="84.75" customHeight="1" outlineLevel="1">
      <c r="A101" s="58" t="s">
        <v>187</v>
      </c>
      <c r="B101" s="64" t="s">
        <v>158</v>
      </c>
      <c r="C101" s="57" t="s">
        <v>165</v>
      </c>
      <c r="D101" s="75" t="s">
        <v>166</v>
      </c>
      <c r="E101" s="76"/>
      <c r="F101" s="76"/>
      <c r="G101" s="56"/>
      <c r="H101" s="104">
        <v>43115</v>
      </c>
      <c r="I101" s="57" t="s">
        <v>35</v>
      </c>
      <c r="J101" s="55" t="s">
        <v>167</v>
      </c>
    </row>
    <row r="102" spans="1:10" s="4" customFormat="1" ht="84.75" customHeight="1" outlineLevel="1">
      <c r="A102" s="58" t="s">
        <v>188</v>
      </c>
      <c r="B102" s="64" t="s">
        <v>156</v>
      </c>
      <c r="C102" s="57" t="s">
        <v>175</v>
      </c>
      <c r="D102" s="75" t="s">
        <v>176</v>
      </c>
      <c r="E102" s="76"/>
      <c r="F102" s="76"/>
      <c r="G102" s="56"/>
      <c r="H102" s="104">
        <v>43115</v>
      </c>
      <c r="I102" s="57" t="s">
        <v>35</v>
      </c>
      <c r="J102" s="55"/>
    </row>
    <row r="103" spans="1:10" s="4" customFormat="1" ht="12.75">
      <c r="A103" s="77" t="s">
        <v>179</v>
      </c>
      <c r="B103" s="78"/>
      <c r="C103" s="78"/>
      <c r="D103" s="78"/>
      <c r="E103" s="78"/>
      <c r="F103" s="78"/>
      <c r="G103" s="78"/>
      <c r="H103" s="78"/>
      <c r="I103" s="78"/>
      <c r="J103" s="79"/>
    </row>
    <row r="104" spans="1:10" s="4" customFormat="1" ht="38.25" outlineLevel="1">
      <c r="A104" s="58" t="s">
        <v>189</v>
      </c>
      <c r="B104" s="64" t="s">
        <v>191</v>
      </c>
      <c r="C104" s="57" t="s">
        <v>192</v>
      </c>
      <c r="D104" s="75" t="s">
        <v>71</v>
      </c>
      <c r="E104" s="76"/>
      <c r="F104" s="76"/>
      <c r="G104" s="56"/>
      <c r="H104" s="104">
        <v>43115</v>
      </c>
      <c r="I104" s="57" t="s">
        <v>35</v>
      </c>
      <c r="J104" s="55"/>
    </row>
    <row r="105" spans="1:10" s="4" customFormat="1" ht="39.75" customHeight="1" outlineLevel="1">
      <c r="A105" s="58" t="s">
        <v>190</v>
      </c>
      <c r="B105" s="64" t="s">
        <v>72</v>
      </c>
      <c r="C105" s="57" t="s">
        <v>73</v>
      </c>
      <c r="D105" s="75" t="s">
        <v>75</v>
      </c>
      <c r="E105" s="76"/>
      <c r="F105" s="76"/>
      <c r="G105" s="56"/>
      <c r="H105" s="104">
        <v>43115</v>
      </c>
      <c r="I105" s="57" t="s">
        <v>35</v>
      </c>
      <c r="J105" s="55"/>
    </row>
    <row r="106" spans="1:10" s="4" customFormat="1" ht="48" customHeight="1" outlineLevel="1">
      <c r="A106" s="58" t="s">
        <v>206</v>
      </c>
      <c r="B106" s="64" t="s">
        <v>191</v>
      </c>
      <c r="C106" s="57" t="s">
        <v>82</v>
      </c>
      <c r="D106" s="75" t="s">
        <v>83</v>
      </c>
      <c r="E106" s="76"/>
      <c r="F106" s="76"/>
      <c r="G106" s="56"/>
      <c r="H106" s="104">
        <v>43115</v>
      </c>
      <c r="I106" s="57" t="s">
        <v>35</v>
      </c>
      <c r="J106" s="55"/>
    </row>
    <row r="107" spans="1:10" s="4" customFormat="1" ht="12.75">
      <c r="A107" s="77" t="s">
        <v>178</v>
      </c>
      <c r="B107" s="78"/>
      <c r="C107" s="78"/>
      <c r="D107" s="78"/>
      <c r="E107" s="78"/>
      <c r="F107" s="78"/>
      <c r="G107" s="78"/>
      <c r="H107" s="78"/>
      <c r="I107" s="78"/>
      <c r="J107" s="79"/>
    </row>
    <row r="108" spans="1:10" s="4" customFormat="1" ht="84.75" customHeight="1" outlineLevel="1">
      <c r="A108" s="58" t="s">
        <v>207</v>
      </c>
      <c r="B108" s="64" t="s">
        <v>147</v>
      </c>
      <c r="C108" s="57" t="s">
        <v>148</v>
      </c>
      <c r="D108" s="103" t="s">
        <v>193</v>
      </c>
      <c r="E108" s="76"/>
      <c r="F108" s="76"/>
      <c r="G108" s="56"/>
      <c r="H108" s="104">
        <v>43115</v>
      </c>
      <c r="I108" s="57" t="s">
        <v>35</v>
      </c>
      <c r="J108" s="55"/>
    </row>
    <row r="109" spans="1:10" s="4" customFormat="1" ht="84.75" customHeight="1" outlineLevel="1">
      <c r="A109" s="58" t="s">
        <v>208</v>
      </c>
      <c r="B109" s="64" t="s">
        <v>156</v>
      </c>
      <c r="C109" s="57" t="s">
        <v>175</v>
      </c>
      <c r="D109" s="75" t="s">
        <v>176</v>
      </c>
      <c r="E109" s="76"/>
      <c r="F109" s="76"/>
      <c r="G109" s="56"/>
      <c r="H109" s="104">
        <v>43115</v>
      </c>
      <c r="I109" s="57" t="s">
        <v>35</v>
      </c>
      <c r="J109" s="55"/>
    </row>
    <row r="110" spans="1:10" s="4" customFormat="1" ht="84.75" customHeight="1" outlineLevel="1">
      <c r="A110" s="58" t="s">
        <v>209</v>
      </c>
      <c r="B110" s="64" t="s">
        <v>196</v>
      </c>
      <c r="C110" s="57" t="s">
        <v>194</v>
      </c>
      <c r="D110" s="75" t="s">
        <v>195</v>
      </c>
      <c r="E110" s="76"/>
      <c r="F110" s="76"/>
      <c r="G110" s="56"/>
      <c r="H110" s="104">
        <v>43115</v>
      </c>
      <c r="I110" s="57" t="s">
        <v>35</v>
      </c>
      <c r="J110" s="55"/>
    </row>
    <row r="111" spans="1:10" s="4" customFormat="1" ht="84.75" customHeight="1" outlineLevel="1">
      <c r="A111" s="58" t="s">
        <v>210</v>
      </c>
      <c r="B111" s="64" t="s">
        <v>196</v>
      </c>
      <c r="C111" s="57" t="s">
        <v>162</v>
      </c>
      <c r="D111" s="75" t="s">
        <v>105</v>
      </c>
      <c r="E111" s="76"/>
      <c r="F111" s="76"/>
      <c r="G111" s="56"/>
      <c r="H111" s="104">
        <v>43115</v>
      </c>
      <c r="I111" s="57" t="s">
        <v>35</v>
      </c>
      <c r="J111" s="55"/>
    </row>
    <row r="112" spans="1:10" s="4" customFormat="1" ht="84.75" customHeight="1" outlineLevel="1">
      <c r="A112" s="58" t="s">
        <v>211</v>
      </c>
      <c r="B112" s="64" t="s">
        <v>196</v>
      </c>
      <c r="C112" s="57" t="s">
        <v>194</v>
      </c>
      <c r="D112" s="75" t="s">
        <v>195</v>
      </c>
      <c r="E112" s="76"/>
      <c r="F112" s="76"/>
      <c r="G112" s="56"/>
      <c r="H112" s="104">
        <v>43115</v>
      </c>
      <c r="I112" s="57" t="s">
        <v>35</v>
      </c>
      <c r="J112" s="55"/>
    </row>
    <row r="113" spans="1:10" s="4" customFormat="1" ht="84.75" customHeight="1" outlineLevel="1">
      <c r="A113" s="58" t="s">
        <v>212</v>
      </c>
      <c r="B113" s="64" t="s">
        <v>196</v>
      </c>
      <c r="C113" s="57" t="s">
        <v>163</v>
      </c>
      <c r="D113" s="75" t="s">
        <v>197</v>
      </c>
      <c r="E113" s="76"/>
      <c r="F113" s="76"/>
      <c r="G113" s="56"/>
      <c r="H113" s="104">
        <v>43115</v>
      </c>
      <c r="I113" s="57" t="s">
        <v>35</v>
      </c>
      <c r="J113" s="55"/>
    </row>
    <row r="114" spans="1:10" s="4" customFormat="1" ht="84.75" customHeight="1" outlineLevel="1">
      <c r="A114" s="58" t="s">
        <v>213</v>
      </c>
      <c r="B114" s="64" t="s">
        <v>198</v>
      </c>
      <c r="C114" s="57" t="s">
        <v>199</v>
      </c>
      <c r="D114" s="75" t="s">
        <v>200</v>
      </c>
      <c r="E114" s="76"/>
      <c r="F114" s="76"/>
      <c r="G114" s="56"/>
      <c r="H114" s="104">
        <v>43115</v>
      </c>
      <c r="I114" s="57" t="s">
        <v>35</v>
      </c>
      <c r="J114" s="55" t="s">
        <v>167</v>
      </c>
    </row>
    <row r="115" spans="1:10" s="4" customFormat="1" ht="84.75" customHeight="1" outlineLevel="1">
      <c r="A115" s="58" t="s">
        <v>214</v>
      </c>
      <c r="B115" s="64" t="s">
        <v>147</v>
      </c>
      <c r="C115" s="57" t="s">
        <v>201</v>
      </c>
      <c r="D115" s="103" t="s">
        <v>193</v>
      </c>
      <c r="E115" s="76"/>
      <c r="F115" s="76"/>
      <c r="G115" s="56"/>
      <c r="H115" s="104">
        <v>43115</v>
      </c>
      <c r="I115" s="57" t="s">
        <v>35</v>
      </c>
      <c r="J115" s="55"/>
    </row>
    <row r="116" spans="1:10" s="4" customFormat="1" ht="84.75" customHeight="1" outlineLevel="1">
      <c r="A116" s="58" t="s">
        <v>215</v>
      </c>
      <c r="B116" s="64" t="s">
        <v>202</v>
      </c>
      <c r="C116" s="57" t="s">
        <v>203</v>
      </c>
      <c r="D116" s="75" t="s">
        <v>204</v>
      </c>
      <c r="E116" s="76"/>
      <c r="F116" s="76"/>
      <c r="G116" s="56"/>
      <c r="H116" s="104">
        <v>43115</v>
      </c>
      <c r="I116" s="57" t="s">
        <v>35</v>
      </c>
      <c r="J116" s="55"/>
    </row>
    <row r="117" spans="1:10" s="4" customFormat="1" ht="84.75" customHeight="1" outlineLevel="1">
      <c r="A117" s="58" t="s">
        <v>216</v>
      </c>
      <c r="B117" s="64" t="s">
        <v>202</v>
      </c>
      <c r="C117" s="57" t="s">
        <v>162</v>
      </c>
      <c r="D117" s="75" t="s">
        <v>105</v>
      </c>
      <c r="E117" s="76"/>
      <c r="F117" s="76"/>
      <c r="G117" s="56"/>
      <c r="H117" s="104">
        <v>43115</v>
      </c>
      <c r="I117" s="57" t="s">
        <v>35</v>
      </c>
      <c r="J117" s="55"/>
    </row>
    <row r="118" spans="1:10" s="4" customFormat="1" ht="84.75" customHeight="1" outlineLevel="1">
      <c r="A118" s="58" t="s">
        <v>217</v>
      </c>
      <c r="B118" s="64" t="s">
        <v>202</v>
      </c>
      <c r="C118" s="57" t="s">
        <v>203</v>
      </c>
      <c r="D118" s="75" t="s">
        <v>204</v>
      </c>
      <c r="E118" s="76"/>
      <c r="F118" s="76"/>
      <c r="G118" s="56"/>
      <c r="H118" s="104">
        <v>43115</v>
      </c>
      <c r="I118" s="57" t="s">
        <v>35</v>
      </c>
      <c r="J118" s="55"/>
    </row>
    <row r="119" spans="1:10" s="4" customFormat="1" ht="84.75" customHeight="1" outlineLevel="1">
      <c r="A119" s="58" t="s">
        <v>218</v>
      </c>
      <c r="B119" s="64" t="s">
        <v>202</v>
      </c>
      <c r="C119" s="57" t="s">
        <v>163</v>
      </c>
      <c r="D119" s="75" t="s">
        <v>205</v>
      </c>
      <c r="E119" s="76"/>
      <c r="F119" s="76"/>
      <c r="G119" s="56"/>
      <c r="H119" s="104">
        <v>43115</v>
      </c>
      <c r="I119" s="57" t="s">
        <v>35</v>
      </c>
      <c r="J119" s="55"/>
    </row>
  </sheetData>
  <mergeCells count="125">
    <mergeCell ref="D116:F116"/>
    <mergeCell ref="D117:F117"/>
    <mergeCell ref="D118:F118"/>
    <mergeCell ref="D119:F119"/>
    <mergeCell ref="D115:F115"/>
    <mergeCell ref="A103:J103"/>
    <mergeCell ref="D104:F104"/>
    <mergeCell ref="D105:F105"/>
    <mergeCell ref="D106:F106"/>
    <mergeCell ref="D110:F110"/>
    <mergeCell ref="D111:F111"/>
    <mergeCell ref="D112:F112"/>
    <mergeCell ref="D113:F113"/>
    <mergeCell ref="D114:F114"/>
    <mergeCell ref="D101:F101"/>
    <mergeCell ref="D102:F102"/>
    <mergeCell ref="A107:J107"/>
    <mergeCell ref="D108:F108"/>
    <mergeCell ref="D109:F109"/>
    <mergeCell ref="D96:F96"/>
    <mergeCell ref="D97:F97"/>
    <mergeCell ref="D98:F98"/>
    <mergeCell ref="D99:F99"/>
    <mergeCell ref="D100:F100"/>
    <mergeCell ref="D93:F93"/>
    <mergeCell ref="A94:J94"/>
    <mergeCell ref="D95:F95"/>
    <mergeCell ref="D84:F84"/>
    <mergeCell ref="D85:F85"/>
    <mergeCell ref="D87:F87"/>
    <mergeCell ref="D86:F86"/>
    <mergeCell ref="D88:F88"/>
    <mergeCell ref="D89:F89"/>
    <mergeCell ref="D90:F90"/>
    <mergeCell ref="D91:F91"/>
    <mergeCell ref="D92:F92"/>
    <mergeCell ref="D79:F79"/>
    <mergeCell ref="D80:F80"/>
    <mergeCell ref="D81:F81"/>
    <mergeCell ref="D82:F82"/>
    <mergeCell ref="A83:J83"/>
    <mergeCell ref="D74:F74"/>
    <mergeCell ref="D75:F75"/>
    <mergeCell ref="D76:F76"/>
    <mergeCell ref="D77:F77"/>
    <mergeCell ref="D78:F78"/>
    <mergeCell ref="D69:F69"/>
    <mergeCell ref="D70:F70"/>
    <mergeCell ref="D71:F71"/>
    <mergeCell ref="D72:F72"/>
    <mergeCell ref="D73:F73"/>
    <mergeCell ref="D64:F64"/>
    <mergeCell ref="D65:F65"/>
    <mergeCell ref="D66:F66"/>
    <mergeCell ref="D67:F67"/>
    <mergeCell ref="D68:F68"/>
    <mergeCell ref="D49:F49"/>
    <mergeCell ref="D52:F52"/>
    <mergeCell ref="D55:F55"/>
    <mergeCell ref="D58:F58"/>
    <mergeCell ref="D61:F61"/>
    <mergeCell ref="D44:F44"/>
    <mergeCell ref="D45:F45"/>
    <mergeCell ref="D46:F46"/>
    <mergeCell ref="D47:F47"/>
    <mergeCell ref="D48:F48"/>
    <mergeCell ref="D62:F62"/>
    <mergeCell ref="D63:F63"/>
    <mergeCell ref="D42:F42"/>
    <mergeCell ref="D57:F57"/>
    <mergeCell ref="D59:F59"/>
    <mergeCell ref="D60:F60"/>
    <mergeCell ref="D53:F53"/>
    <mergeCell ref="D54:F54"/>
    <mergeCell ref="D56:F56"/>
    <mergeCell ref="D50:F50"/>
    <mergeCell ref="D51:F51"/>
    <mergeCell ref="D43:F43"/>
    <mergeCell ref="D37:F37"/>
    <mergeCell ref="D36:F36"/>
    <mergeCell ref="D39:F39"/>
    <mergeCell ref="D41:F41"/>
    <mergeCell ref="D38:F38"/>
    <mergeCell ref="D40:F40"/>
    <mergeCell ref="D19:F19"/>
    <mergeCell ref="A9:A10"/>
    <mergeCell ref="B9:B10"/>
    <mergeCell ref="C9:C10"/>
    <mergeCell ref="D9:G10"/>
    <mergeCell ref="D15:F15"/>
    <mergeCell ref="D13:F13"/>
    <mergeCell ref="D17:F17"/>
    <mergeCell ref="D14:F14"/>
    <mergeCell ref="A16:J16"/>
    <mergeCell ref="D18:F18"/>
    <mergeCell ref="B1:D2"/>
    <mergeCell ref="A8:D8"/>
    <mergeCell ref="B5:D5"/>
    <mergeCell ref="A12:J12"/>
    <mergeCell ref="H6:J6"/>
    <mergeCell ref="H7:J7"/>
    <mergeCell ref="B3:D3"/>
    <mergeCell ref="H4:J4"/>
    <mergeCell ref="J9:J10"/>
    <mergeCell ref="H3:J3"/>
    <mergeCell ref="B4:D4"/>
    <mergeCell ref="H9:H10"/>
    <mergeCell ref="A11:J11"/>
    <mergeCell ref="I9:I10"/>
    <mergeCell ref="D21:F21"/>
    <mergeCell ref="D22:F22"/>
    <mergeCell ref="D23:F23"/>
    <mergeCell ref="D20:F20"/>
    <mergeCell ref="D24:F24"/>
    <mergeCell ref="D25:F25"/>
    <mergeCell ref="D28:F28"/>
    <mergeCell ref="D27:F27"/>
    <mergeCell ref="D26:F26"/>
    <mergeCell ref="D29:F29"/>
    <mergeCell ref="D31:F31"/>
    <mergeCell ref="D32:F32"/>
    <mergeCell ref="D33:F33"/>
    <mergeCell ref="D35:F35"/>
    <mergeCell ref="D34:F34"/>
    <mergeCell ref="D30:F30"/>
  </mergeCells>
  <phoneticPr fontId="14" type="noConversion"/>
  <pageMargins left="0.74803149606299213" right="0.74803149606299213" top="0.98425196850393704" bottom="0.98425196850393704" header="0.51181102362204722" footer="0.51181102362204722"/>
  <pageSetup paperSize="9" scale="75" fitToHeight="0" orientation="landscape" horizontalDpi="300" verticalDpi="300" r:id="rId1"/>
  <headerFooter alignWithMargins="0">
    <oddFooter>Pagina &amp;P di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K130"/>
  <sheetViews>
    <sheetView tabSelected="1" zoomScale="70" zoomScaleNormal="70" workbookViewId="0">
      <selection activeCell="B6" sqref="B6"/>
    </sheetView>
  </sheetViews>
  <sheetFormatPr defaultRowHeight="14.25" outlineLevelRow="1"/>
  <cols>
    <col min="1" max="1" width="15.75" customWidth="1"/>
    <col min="2" max="2" width="18.125" style="65" customWidth="1"/>
    <col min="3" max="3" width="42.125" customWidth="1"/>
    <col min="4" max="5" width="9" style="45"/>
    <col min="6" max="6" width="23.625" style="45" customWidth="1"/>
    <col min="7" max="7" width="18.5" hidden="1" customWidth="1"/>
    <col min="8" max="8" width="17.25" customWidth="1"/>
    <col min="9" max="9" width="9" style="67"/>
    <col min="10" max="10" width="18" style="66" customWidth="1"/>
  </cols>
  <sheetData>
    <row r="1" spans="1:11" s="2" customFormat="1" ht="12.75" customHeight="1">
      <c r="A1" s="42" t="s">
        <v>11</v>
      </c>
      <c r="B1" s="80"/>
      <c r="C1" s="80"/>
      <c r="D1" s="80"/>
      <c r="E1" s="6"/>
      <c r="F1" s="6"/>
      <c r="G1" s="6"/>
      <c r="H1" s="6"/>
      <c r="I1" s="69"/>
      <c r="J1" s="70"/>
      <c r="K1" s="7"/>
    </row>
    <row r="2" spans="1:11" s="2" customFormat="1" ht="11.25" customHeight="1" thickBot="1">
      <c r="A2" s="7"/>
      <c r="B2" s="81"/>
      <c r="C2" s="81"/>
      <c r="D2" s="81"/>
      <c r="E2" s="6"/>
      <c r="F2" s="6"/>
      <c r="G2" s="6"/>
      <c r="H2" s="6"/>
      <c r="I2" s="69"/>
      <c r="J2" s="70"/>
      <c r="K2" s="7"/>
    </row>
    <row r="3" spans="1:11" s="3" customFormat="1" ht="15" customHeight="1">
      <c r="A3" s="43" t="s">
        <v>33</v>
      </c>
      <c r="B3" s="73" t="str">
        <f>Cover!C6</f>
        <v>ALIREP (Reporting QHSE)</v>
      </c>
      <c r="C3" s="73"/>
      <c r="D3" s="74"/>
      <c r="E3" s="46"/>
      <c r="F3" s="46"/>
      <c r="G3" s="46"/>
      <c r="H3" s="86"/>
      <c r="I3" s="86"/>
      <c r="J3" s="86"/>
      <c r="K3" s="9"/>
    </row>
    <row r="4" spans="1:11" s="3" customFormat="1" ht="12.75">
      <c r="A4" s="50" t="s">
        <v>34</v>
      </c>
      <c r="B4" s="88" t="s">
        <v>67</v>
      </c>
      <c r="C4" s="89"/>
      <c r="D4" s="90"/>
      <c r="E4" s="46"/>
      <c r="F4" s="46"/>
      <c r="G4" s="46"/>
      <c r="H4" s="86"/>
      <c r="I4" s="86"/>
      <c r="J4" s="86"/>
      <c r="K4" s="9"/>
    </row>
    <row r="5" spans="1:11" s="3" customFormat="1" ht="27.75" customHeight="1">
      <c r="A5" s="50" t="s">
        <v>81</v>
      </c>
      <c r="B5" s="83" t="s">
        <v>340</v>
      </c>
      <c r="C5" s="84"/>
      <c r="D5" s="85"/>
      <c r="E5" s="46"/>
      <c r="F5" s="46"/>
      <c r="G5" s="46"/>
      <c r="H5" s="72"/>
      <c r="I5" s="72"/>
      <c r="J5" s="72"/>
      <c r="K5" s="9"/>
    </row>
    <row r="6" spans="1:11" s="3" customFormat="1" ht="15" customHeight="1">
      <c r="A6" s="12" t="s">
        <v>35</v>
      </c>
      <c r="B6" s="62">
        <f>COUNTIF(I:I,"Pass")</f>
        <v>111</v>
      </c>
      <c r="C6" s="10" t="s">
        <v>36</v>
      </c>
      <c r="D6" s="13">
        <f>COUNTIF(I:I,"Pending")</f>
        <v>0</v>
      </c>
      <c r="E6" s="72"/>
      <c r="F6" s="72"/>
      <c r="G6" s="72"/>
      <c r="H6" s="86"/>
      <c r="I6" s="86"/>
      <c r="J6" s="86"/>
      <c r="K6" s="9"/>
    </row>
    <row r="7" spans="1:11" s="3" customFormat="1" ht="15" customHeight="1" thickBot="1">
      <c r="A7" s="14" t="s">
        <v>10</v>
      </c>
      <c r="B7" s="63">
        <f>COUNTIF(I:I,"Fail")</f>
        <v>0</v>
      </c>
      <c r="C7" s="20" t="s">
        <v>26</v>
      </c>
      <c r="D7" s="44"/>
      <c r="E7" s="47"/>
      <c r="F7" s="47"/>
      <c r="G7" s="47"/>
      <c r="H7" s="86"/>
      <c r="I7" s="86"/>
      <c r="J7" s="86"/>
      <c r="K7" s="9"/>
    </row>
    <row r="8" spans="1:11" s="3" customFormat="1" ht="15" customHeight="1">
      <c r="A8" s="82"/>
      <c r="B8" s="82"/>
      <c r="C8" s="82"/>
      <c r="D8" s="82"/>
      <c r="E8" s="72"/>
      <c r="F8" s="72"/>
      <c r="G8" s="72"/>
      <c r="H8" s="72"/>
      <c r="I8" s="71"/>
      <c r="J8" s="71"/>
      <c r="K8" s="9"/>
    </row>
    <row r="9" spans="1:11" s="53" customFormat="1" ht="12" customHeight="1">
      <c r="A9" s="95" t="s">
        <v>28</v>
      </c>
      <c r="B9" s="96" t="s">
        <v>12</v>
      </c>
      <c r="C9" s="95" t="s">
        <v>21</v>
      </c>
      <c r="D9" s="98" t="s">
        <v>27</v>
      </c>
      <c r="E9" s="99"/>
      <c r="F9" s="99"/>
      <c r="G9" s="100"/>
      <c r="H9" s="91" t="s">
        <v>25</v>
      </c>
      <c r="I9" s="87" t="s">
        <v>13</v>
      </c>
      <c r="J9" s="87" t="s">
        <v>29</v>
      </c>
      <c r="K9" s="52"/>
    </row>
    <row r="10" spans="1:11" s="49" customFormat="1" ht="12" customHeight="1">
      <c r="A10" s="87"/>
      <c r="B10" s="97"/>
      <c r="C10" s="87"/>
      <c r="D10" s="92"/>
      <c r="E10" s="101"/>
      <c r="F10" s="101"/>
      <c r="G10" s="102"/>
      <c r="H10" s="92"/>
      <c r="I10" s="87"/>
      <c r="J10" s="87"/>
      <c r="K10" s="48"/>
    </row>
    <row r="11" spans="1:11" s="54" customFormat="1" ht="15">
      <c r="A11" s="93"/>
      <c r="B11" s="93"/>
      <c r="C11" s="93"/>
      <c r="D11" s="93"/>
      <c r="E11" s="93"/>
      <c r="F11" s="93"/>
      <c r="G11" s="93"/>
      <c r="H11" s="93"/>
      <c r="I11" s="93"/>
      <c r="J11" s="94"/>
    </row>
    <row r="12" spans="1:11" s="4" customFormat="1" ht="12.75">
      <c r="A12" s="77" t="s">
        <v>221</v>
      </c>
      <c r="B12" s="78"/>
      <c r="C12" s="78"/>
      <c r="D12" s="78"/>
      <c r="E12" s="78"/>
      <c r="F12" s="78"/>
      <c r="G12" s="78"/>
      <c r="H12" s="78"/>
      <c r="I12" s="78"/>
      <c r="J12" s="79"/>
    </row>
    <row r="13" spans="1:11" s="4" customFormat="1" ht="38.25" outlineLevel="1">
      <c r="A13" s="58" t="s">
        <v>228</v>
      </c>
      <c r="B13" s="64" t="s">
        <v>69</v>
      </c>
      <c r="C13" s="57" t="s">
        <v>219</v>
      </c>
      <c r="D13" s="75" t="s">
        <v>71</v>
      </c>
      <c r="E13" s="76"/>
      <c r="F13" s="76"/>
      <c r="G13" s="56"/>
      <c r="H13" s="104">
        <v>43115</v>
      </c>
      <c r="I13" s="57" t="s">
        <v>35</v>
      </c>
      <c r="J13" s="55"/>
    </row>
    <row r="14" spans="1:11" s="4" customFormat="1" ht="39.75" customHeight="1" outlineLevel="1">
      <c r="A14" s="58" t="s">
        <v>229</v>
      </c>
      <c r="B14" s="64" t="s">
        <v>72</v>
      </c>
      <c r="C14" s="57" t="s">
        <v>73</v>
      </c>
      <c r="D14" s="75" t="s">
        <v>75</v>
      </c>
      <c r="E14" s="76"/>
      <c r="F14" s="76"/>
      <c r="G14" s="56"/>
      <c r="H14" s="104">
        <v>43115</v>
      </c>
      <c r="I14" s="57" t="s">
        <v>35</v>
      </c>
      <c r="J14" s="55"/>
    </row>
    <row r="15" spans="1:11" s="4" customFormat="1" ht="48" customHeight="1" outlineLevel="1">
      <c r="A15" s="58" t="s">
        <v>230</v>
      </c>
      <c r="B15" s="64" t="s">
        <v>69</v>
      </c>
      <c r="C15" s="57" t="s">
        <v>82</v>
      </c>
      <c r="D15" s="75" t="s">
        <v>83</v>
      </c>
      <c r="E15" s="76"/>
      <c r="F15" s="76"/>
      <c r="G15" s="56"/>
      <c r="H15" s="104">
        <v>43115</v>
      </c>
      <c r="I15" s="57" t="s">
        <v>35</v>
      </c>
      <c r="J15" s="55"/>
    </row>
    <row r="16" spans="1:11" s="4" customFormat="1" ht="12.75">
      <c r="A16" s="77" t="s">
        <v>68</v>
      </c>
      <c r="B16" s="78"/>
      <c r="C16" s="78"/>
      <c r="D16" s="78"/>
      <c r="E16" s="78"/>
      <c r="F16" s="78"/>
      <c r="G16" s="78"/>
      <c r="H16" s="78"/>
      <c r="I16" s="78"/>
      <c r="J16" s="79"/>
    </row>
    <row r="17" spans="1:10" s="4" customFormat="1" ht="84.75" customHeight="1" outlineLevel="1">
      <c r="A17" s="58" t="s">
        <v>231</v>
      </c>
      <c r="B17" s="64" t="s">
        <v>93</v>
      </c>
      <c r="C17" s="57" t="s">
        <v>85</v>
      </c>
      <c r="D17" s="75" t="s">
        <v>84</v>
      </c>
      <c r="E17" s="76"/>
      <c r="F17" s="76"/>
      <c r="G17" s="56"/>
      <c r="H17" s="104">
        <v>43115</v>
      </c>
      <c r="I17" s="57" t="s">
        <v>35</v>
      </c>
      <c r="J17" s="55"/>
    </row>
    <row r="18" spans="1:10" s="4" customFormat="1" ht="84.75" customHeight="1" outlineLevel="1">
      <c r="A18" s="58" t="s">
        <v>232</v>
      </c>
      <c r="B18" s="64" t="s">
        <v>93</v>
      </c>
      <c r="C18" s="57" t="s">
        <v>91</v>
      </c>
      <c r="D18" s="75" t="s">
        <v>92</v>
      </c>
      <c r="E18" s="76"/>
      <c r="F18" s="76"/>
      <c r="G18" s="56"/>
      <c r="H18" s="104">
        <v>43115</v>
      </c>
      <c r="I18" s="57" t="s">
        <v>35</v>
      </c>
      <c r="J18" s="55"/>
    </row>
    <row r="19" spans="1:10" s="4" customFormat="1" ht="84.75" customHeight="1" outlineLevel="1">
      <c r="A19" s="58" t="s">
        <v>233</v>
      </c>
      <c r="B19" s="64" t="s">
        <v>93</v>
      </c>
      <c r="C19" s="57" t="s">
        <v>86</v>
      </c>
      <c r="D19" s="75" t="s">
        <v>88</v>
      </c>
      <c r="E19" s="76"/>
      <c r="F19" s="76"/>
      <c r="G19" s="56"/>
      <c r="H19" s="104">
        <v>43115</v>
      </c>
      <c r="I19" s="57" t="s">
        <v>35</v>
      </c>
      <c r="J19" s="55" t="s">
        <v>87</v>
      </c>
    </row>
    <row r="20" spans="1:10" s="4" customFormat="1" ht="84.75" customHeight="1" outlineLevel="1">
      <c r="A20" s="58" t="s">
        <v>234</v>
      </c>
      <c r="B20" s="64" t="s">
        <v>93</v>
      </c>
      <c r="C20" s="57" t="s">
        <v>89</v>
      </c>
      <c r="D20" s="75" t="s">
        <v>90</v>
      </c>
      <c r="E20" s="76"/>
      <c r="F20" s="76"/>
      <c r="G20" s="56"/>
      <c r="H20" s="104">
        <v>43115</v>
      </c>
      <c r="I20" s="57" t="s">
        <v>35</v>
      </c>
      <c r="J20" s="55"/>
    </row>
    <row r="21" spans="1:10" s="4" customFormat="1" ht="84.75" customHeight="1" outlineLevel="1">
      <c r="A21" s="58" t="s">
        <v>235</v>
      </c>
      <c r="B21" s="64" t="s">
        <v>93</v>
      </c>
      <c r="C21" s="57" t="s">
        <v>91</v>
      </c>
      <c r="D21" s="75" t="s">
        <v>94</v>
      </c>
      <c r="E21" s="76"/>
      <c r="F21" s="76"/>
      <c r="G21" s="56"/>
      <c r="H21" s="104">
        <v>43115</v>
      </c>
      <c r="I21" s="57" t="s">
        <v>35</v>
      </c>
      <c r="J21" s="55"/>
    </row>
    <row r="22" spans="1:10" s="4" customFormat="1" ht="84.75" customHeight="1" outlineLevel="1">
      <c r="A22" s="58" t="s">
        <v>236</v>
      </c>
      <c r="B22" s="64" t="s">
        <v>93</v>
      </c>
      <c r="C22" s="57" t="s">
        <v>96</v>
      </c>
      <c r="D22" s="75" t="s">
        <v>92</v>
      </c>
      <c r="E22" s="76"/>
      <c r="F22" s="76"/>
      <c r="G22" s="56"/>
      <c r="H22" s="104">
        <v>43115</v>
      </c>
      <c r="I22" s="57" t="s">
        <v>35</v>
      </c>
      <c r="J22" s="55"/>
    </row>
    <row r="23" spans="1:10" s="4" customFormat="1" ht="84.75" customHeight="1" outlineLevel="1">
      <c r="A23" s="58" t="s">
        <v>237</v>
      </c>
      <c r="B23" s="64" t="s">
        <v>93</v>
      </c>
      <c r="C23" s="57" t="s">
        <v>95</v>
      </c>
      <c r="D23" s="75" t="s">
        <v>90</v>
      </c>
      <c r="E23" s="76"/>
      <c r="F23" s="76"/>
      <c r="G23" s="56"/>
      <c r="H23" s="104">
        <v>43115</v>
      </c>
      <c r="I23" s="57" t="s">
        <v>35</v>
      </c>
      <c r="J23" s="55"/>
    </row>
    <row r="24" spans="1:10" s="4" customFormat="1" ht="84.75" customHeight="1" outlineLevel="1">
      <c r="A24" s="58" t="s">
        <v>238</v>
      </c>
      <c r="B24" s="64" t="s">
        <v>93</v>
      </c>
      <c r="C24" s="57" t="s">
        <v>96</v>
      </c>
      <c r="D24" s="75" t="s">
        <v>97</v>
      </c>
      <c r="E24" s="76"/>
      <c r="F24" s="76"/>
      <c r="G24" s="56"/>
      <c r="H24" s="104">
        <v>43115</v>
      </c>
      <c r="I24" s="57" t="s">
        <v>35</v>
      </c>
      <c r="J24" s="55"/>
    </row>
    <row r="25" spans="1:10" s="4" customFormat="1" ht="84.75" customHeight="1" outlineLevel="1">
      <c r="A25" s="58" t="s">
        <v>239</v>
      </c>
      <c r="B25" s="64" t="s">
        <v>93</v>
      </c>
      <c r="C25" s="57" t="s">
        <v>98</v>
      </c>
      <c r="D25" s="75" t="s">
        <v>99</v>
      </c>
      <c r="E25" s="76"/>
      <c r="F25" s="76"/>
      <c r="G25" s="56"/>
      <c r="H25" s="104">
        <v>43115</v>
      </c>
      <c r="I25" s="57" t="s">
        <v>35</v>
      </c>
      <c r="J25" s="55"/>
    </row>
    <row r="26" spans="1:10" s="4" customFormat="1" ht="84.75" customHeight="1" outlineLevel="1">
      <c r="A26" s="58" t="s">
        <v>240</v>
      </c>
      <c r="B26" s="64" t="s">
        <v>93</v>
      </c>
      <c r="C26" s="57" t="s">
        <v>100</v>
      </c>
      <c r="D26" s="75" t="s">
        <v>101</v>
      </c>
      <c r="E26" s="76"/>
      <c r="F26" s="76"/>
      <c r="G26" s="56"/>
      <c r="H26" s="104">
        <v>43115</v>
      </c>
      <c r="I26" s="57" t="s">
        <v>35</v>
      </c>
      <c r="J26" s="55"/>
    </row>
    <row r="27" spans="1:10" s="4" customFormat="1" ht="84.75" customHeight="1" outlineLevel="1">
      <c r="A27" s="58" t="s">
        <v>241</v>
      </c>
      <c r="B27" s="64" t="s">
        <v>93</v>
      </c>
      <c r="C27" s="57" t="s">
        <v>102</v>
      </c>
      <c r="D27" s="75" t="s">
        <v>103</v>
      </c>
      <c r="E27" s="76"/>
      <c r="F27" s="76"/>
      <c r="G27" s="56"/>
      <c r="H27" s="104">
        <v>43115</v>
      </c>
      <c r="I27" s="57" t="s">
        <v>35</v>
      </c>
      <c r="J27" s="55"/>
    </row>
    <row r="28" spans="1:10" s="4" customFormat="1" ht="84.75" customHeight="1" outlineLevel="1">
      <c r="A28" s="58" t="s">
        <v>242</v>
      </c>
      <c r="B28" s="64" t="s">
        <v>93</v>
      </c>
      <c r="C28" s="57" t="s">
        <v>104</v>
      </c>
      <c r="D28" s="75" t="s">
        <v>105</v>
      </c>
      <c r="E28" s="76"/>
      <c r="F28" s="76"/>
      <c r="G28" s="56"/>
      <c r="H28" s="104">
        <v>43115</v>
      </c>
      <c r="I28" s="57" t="s">
        <v>35</v>
      </c>
      <c r="J28" s="55"/>
    </row>
    <row r="29" spans="1:10" s="4" customFormat="1" ht="84.75" customHeight="1" outlineLevel="1">
      <c r="A29" s="58" t="s">
        <v>243</v>
      </c>
      <c r="B29" s="64" t="s">
        <v>93</v>
      </c>
      <c r="C29" s="57" t="s">
        <v>102</v>
      </c>
      <c r="D29" s="75" t="s">
        <v>103</v>
      </c>
      <c r="E29" s="76"/>
      <c r="F29" s="76"/>
      <c r="G29" s="56"/>
      <c r="H29" s="104">
        <v>43115</v>
      </c>
      <c r="I29" s="57" t="s">
        <v>35</v>
      </c>
      <c r="J29" s="55"/>
    </row>
    <row r="30" spans="1:10" s="4" customFormat="1" ht="84.75" customHeight="1" outlineLevel="1">
      <c r="A30" s="58" t="s">
        <v>244</v>
      </c>
      <c r="B30" s="64" t="s">
        <v>93</v>
      </c>
      <c r="C30" s="57" t="s">
        <v>106</v>
      </c>
      <c r="D30" s="75" t="s">
        <v>107</v>
      </c>
      <c r="E30" s="76"/>
      <c r="F30" s="76"/>
      <c r="G30" s="56"/>
      <c r="H30" s="104">
        <v>43115</v>
      </c>
      <c r="I30" s="57" t="s">
        <v>35</v>
      </c>
      <c r="J30" s="55"/>
    </row>
    <row r="31" spans="1:10" s="4" customFormat="1" ht="84.75" customHeight="1" outlineLevel="1">
      <c r="A31" s="58" t="s">
        <v>245</v>
      </c>
      <c r="B31" s="64" t="s">
        <v>93</v>
      </c>
      <c r="C31" s="57" t="s">
        <v>95</v>
      </c>
      <c r="D31" s="75" t="s">
        <v>90</v>
      </c>
      <c r="E31" s="76"/>
      <c r="F31" s="76"/>
      <c r="G31" s="56"/>
      <c r="H31" s="104">
        <v>43115</v>
      </c>
      <c r="I31" s="57" t="s">
        <v>35</v>
      </c>
      <c r="J31" s="55"/>
    </row>
    <row r="32" spans="1:10" s="4" customFormat="1" ht="84.75" customHeight="1" outlineLevel="1">
      <c r="A32" s="58" t="s">
        <v>246</v>
      </c>
      <c r="B32" s="64" t="s">
        <v>93</v>
      </c>
      <c r="C32" s="57" t="s">
        <v>96</v>
      </c>
      <c r="D32" s="75" t="s">
        <v>97</v>
      </c>
      <c r="E32" s="76"/>
      <c r="F32" s="76"/>
      <c r="G32" s="56"/>
      <c r="H32" s="104">
        <v>43115</v>
      </c>
      <c r="I32" s="57" t="s">
        <v>35</v>
      </c>
      <c r="J32" s="55"/>
    </row>
    <row r="33" spans="1:10" s="4" customFormat="1" ht="84.75" customHeight="1" outlineLevel="1">
      <c r="A33" s="58" t="s">
        <v>247</v>
      </c>
      <c r="B33" s="64" t="s">
        <v>93</v>
      </c>
      <c r="C33" s="57" t="s">
        <v>108</v>
      </c>
      <c r="D33" s="75" t="s">
        <v>90</v>
      </c>
      <c r="E33" s="76"/>
      <c r="F33" s="76"/>
      <c r="G33" s="56"/>
      <c r="H33" s="104">
        <v>43115</v>
      </c>
      <c r="I33" s="57" t="s">
        <v>35</v>
      </c>
      <c r="J33" s="55"/>
    </row>
    <row r="34" spans="1:10" s="4" customFormat="1" ht="84.75" customHeight="1" outlineLevel="1">
      <c r="A34" s="58" t="s">
        <v>248</v>
      </c>
      <c r="B34" s="64" t="s">
        <v>93</v>
      </c>
      <c r="C34" s="57" t="s">
        <v>96</v>
      </c>
      <c r="D34" s="75" t="s">
        <v>97</v>
      </c>
      <c r="E34" s="76"/>
      <c r="F34" s="76"/>
      <c r="G34" s="56"/>
      <c r="H34" s="104">
        <v>43115</v>
      </c>
      <c r="I34" s="57" t="s">
        <v>35</v>
      </c>
      <c r="J34" s="55"/>
    </row>
    <row r="35" spans="1:10" s="4" customFormat="1" ht="84.75" customHeight="1" outlineLevel="1">
      <c r="A35" s="58" t="s">
        <v>249</v>
      </c>
      <c r="B35" s="64" t="s">
        <v>93</v>
      </c>
      <c r="C35" s="57" t="s">
        <v>98</v>
      </c>
      <c r="D35" s="75" t="s">
        <v>99</v>
      </c>
      <c r="E35" s="76"/>
      <c r="F35" s="76"/>
      <c r="G35" s="56"/>
      <c r="H35" s="104">
        <v>43115</v>
      </c>
      <c r="I35" s="57" t="s">
        <v>35</v>
      </c>
      <c r="J35" s="55"/>
    </row>
    <row r="36" spans="1:10" s="4" customFormat="1" ht="84.75" customHeight="1" outlineLevel="1">
      <c r="A36" s="58" t="s">
        <v>250</v>
      </c>
      <c r="B36" s="64" t="s">
        <v>93</v>
      </c>
      <c r="C36" s="57" t="s">
        <v>100</v>
      </c>
      <c r="D36" s="75" t="s">
        <v>101</v>
      </c>
      <c r="E36" s="76"/>
      <c r="F36" s="76"/>
      <c r="G36" s="56"/>
      <c r="H36" s="104">
        <v>43115</v>
      </c>
      <c r="I36" s="57" t="s">
        <v>35</v>
      </c>
      <c r="J36" s="55"/>
    </row>
    <row r="37" spans="1:10" s="4" customFormat="1" ht="84.75" customHeight="1" outlineLevel="1">
      <c r="A37" s="58" t="s">
        <v>251</v>
      </c>
      <c r="B37" s="64" t="s">
        <v>93</v>
      </c>
      <c r="C37" s="57" t="s">
        <v>102</v>
      </c>
      <c r="D37" s="75" t="s">
        <v>103</v>
      </c>
      <c r="E37" s="76"/>
      <c r="F37" s="76"/>
      <c r="G37" s="56"/>
      <c r="H37" s="104">
        <v>43115</v>
      </c>
      <c r="I37" s="57" t="s">
        <v>35</v>
      </c>
      <c r="J37" s="55"/>
    </row>
    <row r="38" spans="1:10" s="4" customFormat="1" ht="84.75" customHeight="1" outlineLevel="1">
      <c r="A38" s="58" t="s">
        <v>252</v>
      </c>
      <c r="B38" s="64" t="s">
        <v>93</v>
      </c>
      <c r="C38" s="57" t="s">
        <v>104</v>
      </c>
      <c r="D38" s="75" t="s">
        <v>105</v>
      </c>
      <c r="E38" s="76"/>
      <c r="F38" s="76"/>
      <c r="G38" s="56"/>
      <c r="H38" s="104">
        <v>43115</v>
      </c>
      <c r="I38" s="57" t="s">
        <v>35</v>
      </c>
      <c r="J38" s="55"/>
    </row>
    <row r="39" spans="1:10" s="4" customFormat="1" ht="84.75" customHeight="1" outlineLevel="1">
      <c r="A39" s="58" t="s">
        <v>253</v>
      </c>
      <c r="B39" s="64" t="s">
        <v>93</v>
      </c>
      <c r="C39" s="57" t="s">
        <v>102</v>
      </c>
      <c r="D39" s="75" t="s">
        <v>103</v>
      </c>
      <c r="E39" s="76"/>
      <c r="F39" s="76"/>
      <c r="G39" s="56"/>
      <c r="H39" s="104">
        <v>43115</v>
      </c>
      <c r="I39" s="57" t="s">
        <v>35</v>
      </c>
      <c r="J39" s="55"/>
    </row>
    <row r="40" spans="1:10" s="4" customFormat="1" ht="84.75" customHeight="1" outlineLevel="1">
      <c r="A40" s="58" t="s">
        <v>254</v>
      </c>
      <c r="B40" s="64" t="s">
        <v>93</v>
      </c>
      <c r="C40" s="57" t="s">
        <v>106</v>
      </c>
      <c r="D40" s="75" t="s">
        <v>107</v>
      </c>
      <c r="E40" s="76"/>
      <c r="F40" s="76"/>
      <c r="G40" s="56"/>
      <c r="H40" s="104">
        <v>43115</v>
      </c>
      <c r="I40" s="57" t="s">
        <v>35</v>
      </c>
      <c r="J40" s="55"/>
    </row>
    <row r="41" spans="1:10" s="4" customFormat="1" ht="84.75" customHeight="1" outlineLevel="1">
      <c r="A41" s="58" t="s">
        <v>255</v>
      </c>
      <c r="B41" s="64" t="s">
        <v>93</v>
      </c>
      <c r="C41" s="57" t="s">
        <v>108</v>
      </c>
      <c r="D41" s="75" t="s">
        <v>90</v>
      </c>
      <c r="E41" s="76"/>
      <c r="F41" s="76"/>
      <c r="G41" s="56"/>
      <c r="H41" s="104">
        <v>43115</v>
      </c>
      <c r="I41" s="57" t="s">
        <v>35</v>
      </c>
      <c r="J41" s="55"/>
    </row>
    <row r="42" spans="1:10" s="4" customFormat="1" ht="84.75" customHeight="1" outlineLevel="1">
      <c r="A42" s="58" t="s">
        <v>256</v>
      </c>
      <c r="B42" s="64" t="s">
        <v>93</v>
      </c>
      <c r="C42" s="57" t="s">
        <v>96</v>
      </c>
      <c r="D42" s="75" t="s">
        <v>97</v>
      </c>
      <c r="E42" s="76"/>
      <c r="F42" s="76"/>
      <c r="G42" s="56"/>
      <c r="H42" s="104">
        <v>43115</v>
      </c>
      <c r="I42" s="57" t="s">
        <v>35</v>
      </c>
      <c r="J42" s="55"/>
    </row>
    <row r="43" spans="1:10" s="4" customFormat="1" ht="84.75" customHeight="1" outlineLevel="1">
      <c r="A43" s="58" t="s">
        <v>257</v>
      </c>
      <c r="B43" s="64" t="s">
        <v>93</v>
      </c>
      <c r="C43" s="57" t="s">
        <v>109</v>
      </c>
      <c r="D43" s="75" t="s">
        <v>90</v>
      </c>
      <c r="E43" s="76"/>
      <c r="F43" s="76"/>
      <c r="G43" s="56"/>
      <c r="H43" s="104">
        <v>43115</v>
      </c>
      <c r="I43" s="57" t="s">
        <v>35</v>
      </c>
      <c r="J43" s="55"/>
    </row>
    <row r="44" spans="1:10" s="4" customFormat="1" ht="84.75" customHeight="1" outlineLevel="1">
      <c r="A44" s="58" t="s">
        <v>258</v>
      </c>
      <c r="B44" s="64" t="s">
        <v>93</v>
      </c>
      <c r="C44" s="57" t="s">
        <v>96</v>
      </c>
      <c r="D44" s="75" t="s">
        <v>97</v>
      </c>
      <c r="E44" s="76"/>
      <c r="F44" s="76"/>
      <c r="G44" s="56"/>
      <c r="H44" s="104">
        <v>43115</v>
      </c>
      <c r="I44" s="57" t="s">
        <v>35</v>
      </c>
      <c r="J44" s="55"/>
    </row>
    <row r="45" spans="1:10" s="4" customFormat="1" ht="84.75" customHeight="1" outlineLevel="1">
      <c r="A45" s="58" t="s">
        <v>259</v>
      </c>
      <c r="B45" s="64" t="s">
        <v>93</v>
      </c>
      <c r="C45" s="57" t="s">
        <v>98</v>
      </c>
      <c r="D45" s="75" t="s">
        <v>99</v>
      </c>
      <c r="E45" s="76"/>
      <c r="F45" s="76"/>
      <c r="G45" s="56"/>
      <c r="H45" s="104">
        <v>43115</v>
      </c>
      <c r="I45" s="57" t="s">
        <v>35</v>
      </c>
      <c r="J45" s="55"/>
    </row>
    <row r="46" spans="1:10" s="4" customFormat="1" ht="84.75" customHeight="1" outlineLevel="1">
      <c r="A46" s="58" t="s">
        <v>260</v>
      </c>
      <c r="B46" s="64" t="s">
        <v>93</v>
      </c>
      <c r="C46" s="57" t="s">
        <v>100</v>
      </c>
      <c r="D46" s="75" t="s">
        <v>101</v>
      </c>
      <c r="E46" s="76"/>
      <c r="F46" s="76"/>
      <c r="G46" s="56"/>
      <c r="H46" s="104">
        <v>43115</v>
      </c>
      <c r="I46" s="57" t="s">
        <v>35</v>
      </c>
      <c r="J46" s="55"/>
    </row>
    <row r="47" spans="1:10" s="4" customFormat="1" ht="84.75" customHeight="1" outlineLevel="1">
      <c r="A47" s="58" t="s">
        <v>261</v>
      </c>
      <c r="B47" s="64" t="s">
        <v>93</v>
      </c>
      <c r="C47" s="57" t="s">
        <v>102</v>
      </c>
      <c r="D47" s="75" t="s">
        <v>103</v>
      </c>
      <c r="E47" s="76"/>
      <c r="F47" s="76"/>
      <c r="G47" s="56"/>
      <c r="H47" s="104">
        <v>43115</v>
      </c>
      <c r="I47" s="57" t="s">
        <v>35</v>
      </c>
      <c r="J47" s="55"/>
    </row>
    <row r="48" spans="1:10" s="4" customFormat="1" ht="84.75" customHeight="1" outlineLevel="1">
      <c r="A48" s="58" t="s">
        <v>262</v>
      </c>
      <c r="B48" s="64" t="s">
        <v>93</v>
      </c>
      <c r="C48" s="57" t="s">
        <v>104</v>
      </c>
      <c r="D48" s="75" t="s">
        <v>105</v>
      </c>
      <c r="E48" s="76"/>
      <c r="F48" s="76"/>
      <c r="G48" s="56"/>
      <c r="H48" s="104">
        <v>43115</v>
      </c>
      <c r="I48" s="57" t="s">
        <v>35</v>
      </c>
      <c r="J48" s="55"/>
    </row>
    <row r="49" spans="1:10" s="4" customFormat="1" ht="84.75" customHeight="1" outlineLevel="1">
      <c r="A49" s="58" t="s">
        <v>263</v>
      </c>
      <c r="B49" s="64" t="s">
        <v>93</v>
      </c>
      <c r="C49" s="57" t="s">
        <v>102</v>
      </c>
      <c r="D49" s="75" t="s">
        <v>103</v>
      </c>
      <c r="E49" s="76"/>
      <c r="F49" s="76"/>
      <c r="G49" s="56"/>
      <c r="H49" s="104">
        <v>43115</v>
      </c>
      <c r="I49" s="57" t="s">
        <v>35</v>
      </c>
      <c r="J49" s="55"/>
    </row>
    <row r="50" spans="1:10" s="4" customFormat="1" ht="84.75" customHeight="1" outlineLevel="1">
      <c r="A50" s="58" t="s">
        <v>264</v>
      </c>
      <c r="B50" s="64" t="s">
        <v>93</v>
      </c>
      <c r="C50" s="57" t="s">
        <v>106</v>
      </c>
      <c r="D50" s="75" t="s">
        <v>107</v>
      </c>
      <c r="E50" s="76"/>
      <c r="F50" s="76"/>
      <c r="G50" s="56"/>
      <c r="H50" s="104">
        <v>43115</v>
      </c>
      <c r="I50" s="57" t="s">
        <v>35</v>
      </c>
      <c r="J50" s="55"/>
    </row>
    <row r="51" spans="1:10" s="4" customFormat="1" ht="84.75" customHeight="1" outlineLevel="1">
      <c r="A51" s="58" t="s">
        <v>265</v>
      </c>
      <c r="B51" s="64" t="s">
        <v>93</v>
      </c>
      <c r="C51" s="57" t="s">
        <v>109</v>
      </c>
      <c r="D51" s="75" t="s">
        <v>90</v>
      </c>
      <c r="E51" s="76"/>
      <c r="F51" s="76"/>
      <c r="G51" s="56"/>
      <c r="H51" s="104">
        <v>43115</v>
      </c>
      <c r="I51" s="57" t="s">
        <v>35</v>
      </c>
      <c r="J51" s="55"/>
    </row>
    <row r="52" spans="1:10" s="4" customFormat="1" ht="84.75" customHeight="1" outlineLevel="1">
      <c r="A52" s="58" t="s">
        <v>266</v>
      </c>
      <c r="B52" s="64" t="s">
        <v>93</v>
      </c>
      <c r="C52" s="57" t="s">
        <v>96</v>
      </c>
      <c r="D52" s="75" t="s">
        <v>97</v>
      </c>
      <c r="E52" s="76"/>
      <c r="F52" s="76"/>
      <c r="G52" s="56"/>
      <c r="H52" s="104">
        <v>43115</v>
      </c>
      <c r="I52" s="57" t="s">
        <v>35</v>
      </c>
      <c r="J52" s="55"/>
    </row>
    <row r="53" spans="1:10" s="4" customFormat="1" ht="84.75" customHeight="1" outlineLevel="1">
      <c r="A53" s="58" t="s">
        <v>267</v>
      </c>
      <c r="B53" s="64" t="s">
        <v>93</v>
      </c>
      <c r="C53" s="57" t="s">
        <v>108</v>
      </c>
      <c r="D53" s="75" t="s">
        <v>90</v>
      </c>
      <c r="E53" s="76"/>
      <c r="F53" s="76"/>
      <c r="G53" s="56"/>
      <c r="H53" s="104">
        <v>43115</v>
      </c>
      <c r="I53" s="57" t="s">
        <v>35</v>
      </c>
      <c r="J53" s="55"/>
    </row>
    <row r="54" spans="1:10" s="4" customFormat="1" ht="84.75" customHeight="1" outlineLevel="1">
      <c r="A54" s="58" t="s">
        <v>268</v>
      </c>
      <c r="B54" s="64" t="s">
        <v>93</v>
      </c>
      <c r="C54" s="57" t="s">
        <v>96</v>
      </c>
      <c r="D54" s="75" t="s">
        <v>97</v>
      </c>
      <c r="E54" s="76"/>
      <c r="F54" s="76"/>
      <c r="G54" s="56"/>
      <c r="H54" s="104">
        <v>43115</v>
      </c>
      <c r="I54" s="57" t="s">
        <v>35</v>
      </c>
      <c r="J54" s="55"/>
    </row>
    <row r="55" spans="1:10" s="4" customFormat="1" ht="84.75" customHeight="1" outlineLevel="1">
      <c r="A55" s="58" t="s">
        <v>269</v>
      </c>
      <c r="B55" s="64" t="s">
        <v>93</v>
      </c>
      <c r="C55" s="57" t="s">
        <v>98</v>
      </c>
      <c r="D55" s="75" t="s">
        <v>99</v>
      </c>
      <c r="E55" s="76"/>
      <c r="F55" s="76"/>
      <c r="G55" s="56"/>
      <c r="H55" s="104">
        <v>43115</v>
      </c>
      <c r="I55" s="57" t="s">
        <v>35</v>
      </c>
      <c r="J55" s="55"/>
    </row>
    <row r="56" spans="1:10" s="4" customFormat="1" ht="84.75" customHeight="1" outlineLevel="1">
      <c r="A56" s="58" t="s">
        <v>270</v>
      </c>
      <c r="B56" s="64" t="s">
        <v>93</v>
      </c>
      <c r="C56" s="57" t="s">
        <v>100</v>
      </c>
      <c r="D56" s="75" t="s">
        <v>101</v>
      </c>
      <c r="E56" s="76"/>
      <c r="F56" s="76"/>
      <c r="G56" s="56"/>
      <c r="H56" s="104">
        <v>43115</v>
      </c>
      <c r="I56" s="57" t="s">
        <v>35</v>
      </c>
      <c r="J56" s="55"/>
    </row>
    <row r="57" spans="1:10" s="4" customFormat="1" ht="84.75" customHeight="1" outlineLevel="1">
      <c r="A57" s="58" t="s">
        <v>271</v>
      </c>
      <c r="B57" s="64" t="s">
        <v>93</v>
      </c>
      <c r="C57" s="57" t="s">
        <v>102</v>
      </c>
      <c r="D57" s="75" t="s">
        <v>103</v>
      </c>
      <c r="E57" s="76"/>
      <c r="F57" s="76"/>
      <c r="G57" s="56"/>
      <c r="H57" s="104">
        <v>43115</v>
      </c>
      <c r="I57" s="57" t="s">
        <v>35</v>
      </c>
      <c r="J57" s="55"/>
    </row>
    <row r="58" spans="1:10" s="4" customFormat="1" ht="84.75" customHeight="1" outlineLevel="1">
      <c r="A58" s="58" t="s">
        <v>272</v>
      </c>
      <c r="B58" s="64" t="s">
        <v>93</v>
      </c>
      <c r="C58" s="57" t="s">
        <v>104</v>
      </c>
      <c r="D58" s="75" t="s">
        <v>105</v>
      </c>
      <c r="E58" s="76"/>
      <c r="F58" s="76"/>
      <c r="G58" s="56"/>
      <c r="H58" s="104">
        <v>43115</v>
      </c>
      <c r="I58" s="57" t="s">
        <v>35</v>
      </c>
      <c r="J58" s="55"/>
    </row>
    <row r="59" spans="1:10" s="4" customFormat="1" ht="84.75" customHeight="1" outlineLevel="1">
      <c r="A59" s="58" t="s">
        <v>273</v>
      </c>
      <c r="B59" s="64" t="s">
        <v>93</v>
      </c>
      <c r="C59" s="57" t="s">
        <v>102</v>
      </c>
      <c r="D59" s="75" t="s">
        <v>103</v>
      </c>
      <c r="E59" s="76"/>
      <c r="F59" s="76"/>
      <c r="G59" s="56"/>
      <c r="H59" s="104">
        <v>43115</v>
      </c>
      <c r="I59" s="57" t="s">
        <v>35</v>
      </c>
      <c r="J59" s="55"/>
    </row>
    <row r="60" spans="1:10" s="4" customFormat="1" ht="84.75" customHeight="1" outlineLevel="1">
      <c r="A60" s="58" t="s">
        <v>274</v>
      </c>
      <c r="B60" s="64" t="s">
        <v>93</v>
      </c>
      <c r="C60" s="57" t="s">
        <v>106</v>
      </c>
      <c r="D60" s="75" t="s">
        <v>107</v>
      </c>
      <c r="E60" s="76"/>
      <c r="F60" s="76"/>
      <c r="G60" s="56"/>
      <c r="H60" s="104">
        <v>43115</v>
      </c>
      <c r="I60" s="57" t="s">
        <v>35</v>
      </c>
      <c r="J60" s="55"/>
    </row>
    <row r="61" spans="1:10" s="4" customFormat="1" ht="84.75" customHeight="1" outlineLevel="1">
      <c r="A61" s="58" t="s">
        <v>275</v>
      </c>
      <c r="B61" s="64" t="s">
        <v>93</v>
      </c>
      <c r="C61" s="57" t="s">
        <v>108</v>
      </c>
      <c r="D61" s="75" t="s">
        <v>90</v>
      </c>
      <c r="E61" s="76"/>
      <c r="F61" s="76"/>
      <c r="G61" s="56"/>
      <c r="H61" s="104">
        <v>43115</v>
      </c>
      <c r="I61" s="57" t="s">
        <v>35</v>
      </c>
      <c r="J61" s="55"/>
    </row>
    <row r="62" spans="1:10" s="4" customFormat="1" ht="84.75" customHeight="1" outlineLevel="1">
      <c r="A62" s="58" t="s">
        <v>276</v>
      </c>
      <c r="B62" s="64" t="s">
        <v>93</v>
      </c>
      <c r="C62" s="57" t="s">
        <v>96</v>
      </c>
      <c r="D62" s="75" t="s">
        <v>97</v>
      </c>
      <c r="E62" s="76"/>
      <c r="F62" s="76"/>
      <c r="G62" s="56"/>
      <c r="H62" s="104">
        <v>43115</v>
      </c>
      <c r="I62" s="57" t="s">
        <v>35</v>
      </c>
      <c r="J62" s="55"/>
    </row>
    <row r="63" spans="1:10" s="4" customFormat="1" ht="84.75" customHeight="1" outlineLevel="1">
      <c r="A63" s="58" t="s">
        <v>277</v>
      </c>
      <c r="B63" s="64" t="s">
        <v>93</v>
      </c>
      <c r="C63" s="57" t="s">
        <v>109</v>
      </c>
      <c r="D63" s="75" t="s">
        <v>90</v>
      </c>
      <c r="E63" s="76"/>
      <c r="F63" s="76"/>
      <c r="G63" s="56"/>
      <c r="H63" s="104">
        <v>43115</v>
      </c>
      <c r="I63" s="57" t="s">
        <v>35</v>
      </c>
      <c r="J63" s="55"/>
    </row>
    <row r="64" spans="1:10" s="4" customFormat="1" ht="84.75" customHeight="1" outlineLevel="1">
      <c r="A64" s="58" t="s">
        <v>278</v>
      </c>
      <c r="B64" s="64" t="s">
        <v>93</v>
      </c>
      <c r="C64" s="57" t="s">
        <v>96</v>
      </c>
      <c r="D64" s="75" t="s">
        <v>97</v>
      </c>
      <c r="E64" s="76"/>
      <c r="F64" s="76"/>
      <c r="G64" s="56"/>
      <c r="H64" s="104">
        <v>43115</v>
      </c>
      <c r="I64" s="57" t="s">
        <v>35</v>
      </c>
      <c r="J64" s="55"/>
    </row>
    <row r="65" spans="1:10" s="4" customFormat="1" ht="84.75" customHeight="1" outlineLevel="1">
      <c r="A65" s="58" t="s">
        <v>279</v>
      </c>
      <c r="B65" s="64" t="s">
        <v>93</v>
      </c>
      <c r="C65" s="57" t="s">
        <v>98</v>
      </c>
      <c r="D65" s="75" t="s">
        <v>99</v>
      </c>
      <c r="E65" s="76"/>
      <c r="F65" s="76"/>
      <c r="G65" s="56"/>
      <c r="H65" s="104">
        <v>43115</v>
      </c>
      <c r="I65" s="57" t="s">
        <v>35</v>
      </c>
      <c r="J65" s="55"/>
    </row>
    <row r="66" spans="1:10" s="4" customFormat="1" ht="84.75" customHeight="1" outlineLevel="1">
      <c r="A66" s="58" t="s">
        <v>280</v>
      </c>
      <c r="B66" s="64" t="s">
        <v>93</v>
      </c>
      <c r="C66" s="57" t="s">
        <v>100</v>
      </c>
      <c r="D66" s="75" t="s">
        <v>101</v>
      </c>
      <c r="E66" s="76"/>
      <c r="F66" s="76"/>
      <c r="G66" s="56"/>
      <c r="H66" s="104">
        <v>43115</v>
      </c>
      <c r="I66" s="57" t="s">
        <v>35</v>
      </c>
      <c r="J66" s="55"/>
    </row>
    <row r="67" spans="1:10" s="4" customFormat="1" ht="84.75" customHeight="1" outlineLevel="1">
      <c r="A67" s="58" t="s">
        <v>281</v>
      </c>
      <c r="B67" s="64" t="s">
        <v>93</v>
      </c>
      <c r="C67" s="57" t="s">
        <v>102</v>
      </c>
      <c r="D67" s="75" t="s">
        <v>103</v>
      </c>
      <c r="E67" s="76"/>
      <c r="F67" s="76"/>
      <c r="G67" s="56"/>
      <c r="H67" s="104">
        <v>43115</v>
      </c>
      <c r="I67" s="57" t="s">
        <v>35</v>
      </c>
      <c r="J67" s="55"/>
    </row>
    <row r="68" spans="1:10" s="4" customFormat="1" ht="84.75" customHeight="1" outlineLevel="1">
      <c r="A68" s="58" t="s">
        <v>282</v>
      </c>
      <c r="B68" s="64" t="s">
        <v>93</v>
      </c>
      <c r="C68" s="57" t="s">
        <v>104</v>
      </c>
      <c r="D68" s="75" t="s">
        <v>105</v>
      </c>
      <c r="E68" s="76"/>
      <c r="F68" s="76"/>
      <c r="G68" s="56"/>
      <c r="H68" s="104">
        <v>43115</v>
      </c>
      <c r="I68" s="57" t="s">
        <v>35</v>
      </c>
      <c r="J68" s="55"/>
    </row>
    <row r="69" spans="1:10" s="4" customFormat="1" ht="84.75" customHeight="1" outlineLevel="1">
      <c r="A69" s="58" t="s">
        <v>283</v>
      </c>
      <c r="B69" s="64" t="s">
        <v>93</v>
      </c>
      <c r="C69" s="57" t="s">
        <v>102</v>
      </c>
      <c r="D69" s="75" t="s">
        <v>103</v>
      </c>
      <c r="E69" s="76"/>
      <c r="F69" s="76"/>
      <c r="G69" s="56"/>
      <c r="H69" s="104">
        <v>43115</v>
      </c>
      <c r="I69" s="57" t="s">
        <v>35</v>
      </c>
      <c r="J69" s="55"/>
    </row>
    <row r="70" spans="1:10" s="4" customFormat="1" ht="84.75" customHeight="1" outlineLevel="1">
      <c r="A70" s="58" t="s">
        <v>284</v>
      </c>
      <c r="B70" s="64" t="s">
        <v>93</v>
      </c>
      <c r="C70" s="57" t="s">
        <v>106</v>
      </c>
      <c r="D70" s="75" t="s">
        <v>107</v>
      </c>
      <c r="E70" s="76"/>
      <c r="F70" s="76"/>
      <c r="G70" s="56"/>
      <c r="H70" s="104">
        <v>43115</v>
      </c>
      <c r="I70" s="57" t="s">
        <v>35</v>
      </c>
      <c r="J70" s="55"/>
    </row>
    <row r="71" spans="1:10" s="4" customFormat="1" ht="84.75" customHeight="1" outlineLevel="1">
      <c r="A71" s="58" t="s">
        <v>285</v>
      </c>
      <c r="B71" s="64" t="s">
        <v>93</v>
      </c>
      <c r="C71" s="57" t="s">
        <v>109</v>
      </c>
      <c r="D71" s="75" t="s">
        <v>90</v>
      </c>
      <c r="E71" s="76"/>
      <c r="F71" s="76"/>
      <c r="G71" s="56"/>
      <c r="H71" s="104">
        <v>43115</v>
      </c>
      <c r="I71" s="57" t="s">
        <v>35</v>
      </c>
      <c r="J71" s="55"/>
    </row>
    <row r="72" spans="1:10" s="4" customFormat="1" ht="84.75" customHeight="1" outlineLevel="1">
      <c r="A72" s="58" t="s">
        <v>286</v>
      </c>
      <c r="B72" s="64" t="s">
        <v>93</v>
      </c>
      <c r="C72" s="57" t="s">
        <v>96</v>
      </c>
      <c r="D72" s="75" t="s">
        <v>97</v>
      </c>
      <c r="E72" s="76"/>
      <c r="F72" s="76"/>
      <c r="G72" s="56"/>
      <c r="H72" s="104">
        <v>43115</v>
      </c>
      <c r="I72" s="57" t="s">
        <v>35</v>
      </c>
      <c r="J72" s="55"/>
    </row>
    <row r="73" spans="1:10" s="4" customFormat="1" ht="84.75" customHeight="1" outlineLevel="1">
      <c r="A73" s="58" t="s">
        <v>287</v>
      </c>
      <c r="B73" s="64" t="s">
        <v>93</v>
      </c>
      <c r="C73" s="57" t="s">
        <v>110</v>
      </c>
      <c r="D73" s="75" t="s">
        <v>90</v>
      </c>
      <c r="E73" s="76"/>
      <c r="F73" s="76"/>
      <c r="G73" s="56"/>
      <c r="H73" s="104">
        <v>43115</v>
      </c>
      <c r="I73" s="57" t="s">
        <v>35</v>
      </c>
      <c r="J73" s="55"/>
    </row>
    <row r="74" spans="1:10" s="4" customFormat="1" ht="84.75" customHeight="1" outlineLevel="1">
      <c r="A74" s="58" t="s">
        <v>288</v>
      </c>
      <c r="B74" s="64" t="s">
        <v>93</v>
      </c>
      <c r="C74" s="57" t="s">
        <v>96</v>
      </c>
      <c r="D74" s="75" t="s">
        <v>97</v>
      </c>
      <c r="E74" s="76"/>
      <c r="F74" s="76"/>
      <c r="G74" s="56"/>
      <c r="H74" s="104">
        <v>43115</v>
      </c>
      <c r="I74" s="57" t="s">
        <v>35</v>
      </c>
      <c r="J74" s="55"/>
    </row>
    <row r="75" spans="1:10" s="4" customFormat="1" ht="84.75" customHeight="1" outlineLevel="1">
      <c r="A75" s="58" t="s">
        <v>289</v>
      </c>
      <c r="B75" s="64" t="s">
        <v>93</v>
      </c>
      <c r="C75" s="57" t="s">
        <v>98</v>
      </c>
      <c r="D75" s="75" t="s">
        <v>99</v>
      </c>
      <c r="E75" s="76"/>
      <c r="F75" s="76"/>
      <c r="G75" s="56"/>
      <c r="H75" s="104">
        <v>43115</v>
      </c>
      <c r="I75" s="57" t="s">
        <v>35</v>
      </c>
      <c r="J75" s="55"/>
    </row>
    <row r="76" spans="1:10" s="4" customFormat="1" ht="84.75" customHeight="1" outlineLevel="1">
      <c r="A76" s="58" t="s">
        <v>290</v>
      </c>
      <c r="B76" s="64" t="s">
        <v>93</v>
      </c>
      <c r="C76" s="57" t="s">
        <v>100</v>
      </c>
      <c r="D76" s="75" t="s">
        <v>101</v>
      </c>
      <c r="E76" s="76"/>
      <c r="F76" s="76"/>
      <c r="G76" s="56"/>
      <c r="H76" s="104">
        <v>43115</v>
      </c>
      <c r="I76" s="57" t="s">
        <v>35</v>
      </c>
      <c r="J76" s="55"/>
    </row>
    <row r="77" spans="1:10" s="4" customFormat="1" ht="84.75" customHeight="1" outlineLevel="1">
      <c r="A77" s="58" t="s">
        <v>291</v>
      </c>
      <c r="B77" s="64" t="s">
        <v>93</v>
      </c>
      <c r="C77" s="57" t="s">
        <v>102</v>
      </c>
      <c r="D77" s="75" t="s">
        <v>103</v>
      </c>
      <c r="E77" s="76"/>
      <c r="F77" s="76"/>
      <c r="G77" s="56"/>
      <c r="H77" s="104">
        <v>43115</v>
      </c>
      <c r="I77" s="57" t="s">
        <v>35</v>
      </c>
      <c r="J77" s="55"/>
    </row>
    <row r="78" spans="1:10" s="4" customFormat="1" ht="84.75" customHeight="1" outlineLevel="1">
      <c r="A78" s="58" t="s">
        <v>292</v>
      </c>
      <c r="B78" s="64" t="s">
        <v>93</v>
      </c>
      <c r="C78" s="57" t="s">
        <v>104</v>
      </c>
      <c r="D78" s="75" t="s">
        <v>105</v>
      </c>
      <c r="E78" s="76"/>
      <c r="F78" s="76"/>
      <c r="G78" s="56"/>
      <c r="H78" s="104">
        <v>43115</v>
      </c>
      <c r="I78" s="57" t="s">
        <v>35</v>
      </c>
      <c r="J78" s="55"/>
    </row>
    <row r="79" spans="1:10" s="4" customFormat="1" ht="84.75" customHeight="1" outlineLevel="1">
      <c r="A79" s="58" t="s">
        <v>293</v>
      </c>
      <c r="B79" s="64" t="s">
        <v>93</v>
      </c>
      <c r="C79" s="57" t="s">
        <v>102</v>
      </c>
      <c r="D79" s="75" t="s">
        <v>103</v>
      </c>
      <c r="E79" s="76"/>
      <c r="F79" s="76"/>
      <c r="G79" s="56"/>
      <c r="H79" s="104">
        <v>43115</v>
      </c>
      <c r="I79" s="57" t="s">
        <v>35</v>
      </c>
      <c r="J79" s="55"/>
    </row>
    <row r="80" spans="1:10" s="4" customFormat="1" ht="84.75" customHeight="1" outlineLevel="1">
      <c r="A80" s="58" t="s">
        <v>294</v>
      </c>
      <c r="B80" s="64" t="s">
        <v>93</v>
      </c>
      <c r="C80" s="57" t="s">
        <v>106</v>
      </c>
      <c r="D80" s="75" t="s">
        <v>107</v>
      </c>
      <c r="E80" s="76"/>
      <c r="F80" s="76"/>
      <c r="G80" s="56"/>
      <c r="H80" s="104">
        <v>43115</v>
      </c>
      <c r="I80" s="57" t="s">
        <v>35</v>
      </c>
      <c r="J80" s="55"/>
    </row>
    <row r="81" spans="1:10" s="4" customFormat="1" ht="84.75" customHeight="1" outlineLevel="1">
      <c r="A81" s="58" t="s">
        <v>295</v>
      </c>
      <c r="B81" s="64" t="s">
        <v>93</v>
      </c>
      <c r="C81" s="57" t="s">
        <v>110</v>
      </c>
      <c r="D81" s="75" t="s">
        <v>90</v>
      </c>
      <c r="E81" s="76"/>
      <c r="F81" s="76"/>
      <c r="G81" s="56"/>
      <c r="H81" s="104">
        <v>43115</v>
      </c>
      <c r="I81" s="57" t="s">
        <v>35</v>
      </c>
      <c r="J81" s="55"/>
    </row>
    <row r="82" spans="1:10" s="4" customFormat="1" ht="84.75" customHeight="1" outlineLevel="1">
      <c r="A82" s="58" t="s">
        <v>296</v>
      </c>
      <c r="B82" s="64" t="s">
        <v>93</v>
      </c>
      <c r="C82" s="57" t="s">
        <v>96</v>
      </c>
      <c r="D82" s="75" t="s">
        <v>97</v>
      </c>
      <c r="E82" s="76"/>
      <c r="F82" s="76"/>
      <c r="G82" s="56"/>
      <c r="H82" s="104">
        <v>43115</v>
      </c>
      <c r="I82" s="57" t="s">
        <v>35</v>
      </c>
      <c r="J82" s="55"/>
    </row>
    <row r="83" spans="1:10" s="4" customFormat="1" ht="12.75">
      <c r="A83" s="77" t="s">
        <v>146</v>
      </c>
      <c r="B83" s="78"/>
      <c r="C83" s="78"/>
      <c r="D83" s="78"/>
      <c r="E83" s="78"/>
      <c r="F83" s="78"/>
      <c r="G83" s="78"/>
      <c r="H83" s="78"/>
      <c r="I83" s="78"/>
      <c r="J83" s="79"/>
    </row>
    <row r="84" spans="1:10" s="4" customFormat="1" ht="84.75" customHeight="1" outlineLevel="1">
      <c r="A84" s="58" t="s">
        <v>297</v>
      </c>
      <c r="B84" s="64" t="s">
        <v>147</v>
      </c>
      <c r="C84" s="57" t="s">
        <v>148</v>
      </c>
      <c r="D84" s="75" t="s">
        <v>149</v>
      </c>
      <c r="E84" s="76"/>
      <c r="F84" s="76"/>
      <c r="G84" s="56"/>
      <c r="H84" s="104">
        <v>43115</v>
      </c>
      <c r="I84" s="57" t="s">
        <v>35</v>
      </c>
      <c r="J84" s="55"/>
    </row>
    <row r="85" spans="1:10" s="4" customFormat="1" ht="84.75" customHeight="1" outlineLevel="1">
      <c r="A85" s="58" t="s">
        <v>298</v>
      </c>
      <c r="B85" s="64" t="s">
        <v>156</v>
      </c>
      <c r="C85" s="57" t="s">
        <v>150</v>
      </c>
      <c r="D85" s="75" t="s">
        <v>151</v>
      </c>
      <c r="E85" s="76"/>
      <c r="F85" s="76"/>
      <c r="G85" s="56"/>
      <c r="H85" s="104">
        <v>43115</v>
      </c>
      <c r="I85" s="57" t="s">
        <v>35</v>
      </c>
      <c r="J85" s="55"/>
    </row>
    <row r="86" spans="1:10" s="4" customFormat="1" ht="84.75" customHeight="1" outlineLevel="1">
      <c r="A86" s="58" t="s">
        <v>299</v>
      </c>
      <c r="B86" s="64" t="s">
        <v>147</v>
      </c>
      <c r="C86" s="57" t="s">
        <v>148</v>
      </c>
      <c r="D86" s="75" t="s">
        <v>149</v>
      </c>
      <c r="E86" s="76"/>
      <c r="F86" s="76"/>
      <c r="G86" s="56"/>
      <c r="H86" s="104">
        <v>43115</v>
      </c>
      <c r="I86" s="57" t="s">
        <v>35</v>
      </c>
      <c r="J86" s="55"/>
    </row>
    <row r="87" spans="1:10" s="4" customFormat="1" ht="84.75" customHeight="1" outlineLevel="1">
      <c r="A87" s="58" t="s">
        <v>300</v>
      </c>
      <c r="B87" s="64" t="s">
        <v>157</v>
      </c>
      <c r="C87" s="57" t="s">
        <v>152</v>
      </c>
      <c r="D87" s="75" t="s">
        <v>153</v>
      </c>
      <c r="E87" s="76"/>
      <c r="F87" s="76"/>
      <c r="G87" s="56"/>
      <c r="H87" s="104">
        <v>43115</v>
      </c>
      <c r="I87" s="57" t="s">
        <v>35</v>
      </c>
      <c r="J87" s="55"/>
    </row>
    <row r="88" spans="1:10" s="4" customFormat="1" ht="84.75" customHeight="1" outlineLevel="1">
      <c r="A88" s="58" t="s">
        <v>301</v>
      </c>
      <c r="B88" s="64" t="s">
        <v>157</v>
      </c>
      <c r="C88" s="57" t="s">
        <v>104</v>
      </c>
      <c r="D88" s="75" t="s">
        <v>105</v>
      </c>
      <c r="E88" s="76"/>
      <c r="F88" s="76"/>
      <c r="G88" s="56"/>
      <c r="H88" s="104">
        <v>43115</v>
      </c>
      <c r="I88" s="57" t="s">
        <v>35</v>
      </c>
      <c r="J88" s="55"/>
    </row>
    <row r="89" spans="1:10" s="4" customFormat="1" ht="84.75" customHeight="1" outlineLevel="1">
      <c r="A89" s="58" t="s">
        <v>302</v>
      </c>
      <c r="B89" s="64" t="s">
        <v>147</v>
      </c>
      <c r="C89" s="57" t="s">
        <v>148</v>
      </c>
      <c r="D89" s="75" t="s">
        <v>149</v>
      </c>
      <c r="E89" s="76"/>
      <c r="F89" s="76"/>
      <c r="G89" s="56"/>
      <c r="H89" s="104">
        <v>43115</v>
      </c>
      <c r="I89" s="57" t="s">
        <v>35</v>
      </c>
      <c r="J89" s="55"/>
    </row>
    <row r="90" spans="1:10" s="4" customFormat="1" ht="84.75" customHeight="1" outlineLevel="1">
      <c r="A90" s="58" t="s">
        <v>303</v>
      </c>
      <c r="B90" s="64" t="s">
        <v>157</v>
      </c>
      <c r="C90" s="57" t="s">
        <v>152</v>
      </c>
      <c r="D90" s="75" t="s">
        <v>153</v>
      </c>
      <c r="E90" s="76"/>
      <c r="F90" s="76"/>
      <c r="G90" s="56"/>
      <c r="H90" s="104">
        <v>43115</v>
      </c>
      <c r="I90" s="57" t="s">
        <v>35</v>
      </c>
      <c r="J90" s="55"/>
    </row>
    <row r="91" spans="1:10" s="4" customFormat="1" ht="84.75" customHeight="1" outlineLevel="1">
      <c r="A91" s="58" t="s">
        <v>304</v>
      </c>
      <c r="B91" s="64" t="s">
        <v>157</v>
      </c>
      <c r="C91" s="57" t="s">
        <v>106</v>
      </c>
      <c r="D91" s="75" t="s">
        <v>154</v>
      </c>
      <c r="E91" s="76"/>
      <c r="F91" s="76"/>
      <c r="G91" s="56"/>
      <c r="H91" s="104">
        <v>43115</v>
      </c>
      <c r="I91" s="57" t="s">
        <v>35</v>
      </c>
      <c r="J91" s="55"/>
    </row>
    <row r="92" spans="1:10" s="4" customFormat="1" ht="84.75" customHeight="1" outlineLevel="1">
      <c r="A92" s="58" t="s">
        <v>305</v>
      </c>
      <c r="B92" s="64" t="s">
        <v>93</v>
      </c>
      <c r="C92" s="57" t="s">
        <v>155</v>
      </c>
      <c r="D92" s="75"/>
      <c r="E92" s="76"/>
      <c r="F92" s="76"/>
      <c r="G92" s="56"/>
      <c r="H92" s="104">
        <v>43115</v>
      </c>
      <c r="I92" s="57" t="s">
        <v>35</v>
      </c>
      <c r="J92" s="55"/>
    </row>
    <row r="93" spans="1:10" s="4" customFormat="1" ht="84.75" customHeight="1" outlineLevel="1">
      <c r="A93" s="58" t="s">
        <v>306</v>
      </c>
      <c r="B93" s="64" t="s">
        <v>147</v>
      </c>
      <c r="C93" s="57" t="s">
        <v>148</v>
      </c>
      <c r="D93" s="75" t="s">
        <v>149</v>
      </c>
      <c r="E93" s="76"/>
      <c r="F93" s="76"/>
      <c r="G93" s="56"/>
      <c r="H93" s="104">
        <v>43115</v>
      </c>
      <c r="I93" s="57" t="s">
        <v>35</v>
      </c>
      <c r="J93" s="55"/>
    </row>
    <row r="94" spans="1:10" s="4" customFormat="1" ht="12.75">
      <c r="A94" s="77" t="s">
        <v>145</v>
      </c>
      <c r="B94" s="78"/>
      <c r="C94" s="78"/>
      <c r="D94" s="78"/>
      <c r="E94" s="78"/>
      <c r="F94" s="78"/>
      <c r="G94" s="78"/>
      <c r="H94" s="78"/>
      <c r="I94" s="78"/>
      <c r="J94" s="79"/>
    </row>
    <row r="95" spans="1:10" s="4" customFormat="1" ht="84.75" customHeight="1" outlineLevel="1">
      <c r="A95" s="58" t="s">
        <v>307</v>
      </c>
      <c r="B95" s="64" t="s">
        <v>147</v>
      </c>
      <c r="C95" s="57" t="s">
        <v>148</v>
      </c>
      <c r="D95" s="75" t="s">
        <v>149</v>
      </c>
      <c r="E95" s="76"/>
      <c r="F95" s="76"/>
      <c r="G95" s="56"/>
      <c r="H95" s="104">
        <v>43115</v>
      </c>
      <c r="I95" s="57" t="s">
        <v>35</v>
      </c>
      <c r="J95" s="55"/>
    </row>
    <row r="96" spans="1:10" s="4" customFormat="1" ht="84.75" customHeight="1" outlineLevel="1">
      <c r="A96" s="58" t="s">
        <v>308</v>
      </c>
      <c r="B96" s="64" t="s">
        <v>158</v>
      </c>
      <c r="C96" s="57" t="s">
        <v>159</v>
      </c>
      <c r="D96" s="75" t="s">
        <v>151</v>
      </c>
      <c r="E96" s="76"/>
      <c r="F96" s="76"/>
      <c r="G96" s="56"/>
      <c r="H96" s="104">
        <v>43115</v>
      </c>
      <c r="I96" s="57" t="s">
        <v>35</v>
      </c>
      <c r="J96" s="55"/>
    </row>
    <row r="97" spans="1:10" s="4" customFormat="1" ht="84.75" customHeight="1" outlineLevel="1">
      <c r="A97" s="58" t="s">
        <v>309</v>
      </c>
      <c r="B97" s="64" t="s">
        <v>158</v>
      </c>
      <c r="C97" s="57" t="s">
        <v>160</v>
      </c>
      <c r="D97" s="75" t="s">
        <v>161</v>
      </c>
      <c r="E97" s="76"/>
      <c r="F97" s="76"/>
      <c r="G97" s="56"/>
      <c r="H97" s="104">
        <v>43115</v>
      </c>
      <c r="I97" s="57" t="s">
        <v>35</v>
      </c>
      <c r="J97" s="55"/>
    </row>
    <row r="98" spans="1:10" s="4" customFormat="1" ht="84.75" customHeight="1" outlineLevel="1">
      <c r="A98" s="58" t="s">
        <v>310</v>
      </c>
      <c r="B98" s="64" t="s">
        <v>158</v>
      </c>
      <c r="C98" s="57" t="s">
        <v>162</v>
      </c>
      <c r="D98" s="75" t="s">
        <v>105</v>
      </c>
      <c r="E98" s="76"/>
      <c r="F98" s="76"/>
      <c r="G98" s="56"/>
      <c r="H98" s="104">
        <v>43115</v>
      </c>
      <c r="I98" s="57" t="s">
        <v>35</v>
      </c>
      <c r="J98" s="55"/>
    </row>
    <row r="99" spans="1:10" s="4" customFormat="1" ht="84.75" customHeight="1" outlineLevel="1">
      <c r="A99" s="58" t="s">
        <v>311</v>
      </c>
      <c r="B99" s="64" t="s">
        <v>158</v>
      </c>
      <c r="C99" s="57" t="s">
        <v>160</v>
      </c>
      <c r="D99" s="75" t="s">
        <v>161</v>
      </c>
      <c r="E99" s="76"/>
      <c r="F99" s="76"/>
      <c r="G99" s="56"/>
      <c r="H99" s="104">
        <v>43115</v>
      </c>
      <c r="I99" s="57" t="s">
        <v>35</v>
      </c>
      <c r="J99" s="55"/>
    </row>
    <row r="100" spans="1:10" s="4" customFormat="1" ht="84.75" customHeight="1" outlineLevel="1">
      <c r="A100" s="58" t="s">
        <v>312</v>
      </c>
      <c r="B100" s="64" t="s">
        <v>158</v>
      </c>
      <c r="C100" s="57" t="s">
        <v>163</v>
      </c>
      <c r="D100" s="75" t="s">
        <v>164</v>
      </c>
      <c r="E100" s="76"/>
      <c r="F100" s="76"/>
      <c r="G100" s="56"/>
      <c r="H100" s="104">
        <v>43115</v>
      </c>
      <c r="I100" s="57" t="s">
        <v>35</v>
      </c>
      <c r="J100" s="55"/>
    </row>
    <row r="101" spans="1:10" s="4" customFormat="1" ht="84.75" customHeight="1" outlineLevel="1">
      <c r="A101" s="58" t="s">
        <v>313</v>
      </c>
      <c r="B101" s="64" t="s">
        <v>158</v>
      </c>
      <c r="C101" s="57" t="s">
        <v>165</v>
      </c>
      <c r="D101" s="75" t="s">
        <v>166</v>
      </c>
      <c r="E101" s="76"/>
      <c r="F101" s="76"/>
      <c r="G101" s="56"/>
      <c r="H101" s="104">
        <v>43115</v>
      </c>
      <c r="I101" s="57" t="s">
        <v>35</v>
      </c>
      <c r="J101" s="55" t="s">
        <v>167</v>
      </c>
    </row>
    <row r="102" spans="1:10" s="4" customFormat="1" ht="84.75" customHeight="1" outlineLevel="1">
      <c r="A102" s="58" t="s">
        <v>314</v>
      </c>
      <c r="B102" s="64" t="s">
        <v>156</v>
      </c>
      <c r="C102" s="57" t="s">
        <v>175</v>
      </c>
      <c r="D102" s="75" t="s">
        <v>176</v>
      </c>
      <c r="E102" s="76"/>
      <c r="F102" s="76"/>
      <c r="G102" s="56"/>
      <c r="H102" s="104">
        <v>43115</v>
      </c>
      <c r="I102" s="57" t="s">
        <v>35</v>
      </c>
      <c r="J102" s="55"/>
    </row>
    <row r="103" spans="1:10" s="4" customFormat="1" ht="12.75">
      <c r="A103" s="77" t="s">
        <v>179</v>
      </c>
      <c r="B103" s="78"/>
      <c r="C103" s="78"/>
      <c r="D103" s="78"/>
      <c r="E103" s="78"/>
      <c r="F103" s="78"/>
      <c r="G103" s="78"/>
      <c r="H103" s="78"/>
      <c r="I103" s="78"/>
      <c r="J103" s="79"/>
    </row>
    <row r="104" spans="1:10" s="4" customFormat="1" ht="38.25" outlineLevel="1">
      <c r="A104" s="58" t="s">
        <v>315</v>
      </c>
      <c r="B104" s="64" t="s">
        <v>191</v>
      </c>
      <c r="C104" s="57" t="s">
        <v>220</v>
      </c>
      <c r="D104" s="75" t="s">
        <v>71</v>
      </c>
      <c r="E104" s="76"/>
      <c r="F104" s="76"/>
      <c r="G104" s="56"/>
      <c r="H104" s="104">
        <v>43115</v>
      </c>
      <c r="I104" s="57" t="s">
        <v>35</v>
      </c>
      <c r="J104" s="55"/>
    </row>
    <row r="105" spans="1:10" s="4" customFormat="1" ht="39.75" customHeight="1" outlineLevel="1">
      <c r="A105" s="58" t="s">
        <v>316</v>
      </c>
      <c r="B105" s="64" t="s">
        <v>72</v>
      </c>
      <c r="C105" s="57" t="s">
        <v>73</v>
      </c>
      <c r="D105" s="75" t="s">
        <v>75</v>
      </c>
      <c r="E105" s="76"/>
      <c r="F105" s="76"/>
      <c r="G105" s="56"/>
      <c r="H105" s="104">
        <v>43115</v>
      </c>
      <c r="I105" s="57" t="s">
        <v>35</v>
      </c>
      <c r="J105" s="55"/>
    </row>
    <row r="106" spans="1:10" s="4" customFormat="1" ht="48" customHeight="1" outlineLevel="1">
      <c r="A106" s="58" t="s">
        <v>317</v>
      </c>
      <c r="B106" s="64" t="s">
        <v>191</v>
      </c>
      <c r="C106" s="57" t="s">
        <v>82</v>
      </c>
      <c r="D106" s="75" t="s">
        <v>83</v>
      </c>
      <c r="E106" s="76"/>
      <c r="F106" s="76"/>
      <c r="G106" s="56"/>
      <c r="H106" s="104">
        <v>43115</v>
      </c>
      <c r="I106" s="57" t="s">
        <v>35</v>
      </c>
      <c r="J106" s="55"/>
    </row>
    <row r="107" spans="1:10" s="4" customFormat="1" ht="12.75">
      <c r="A107" s="77" t="s">
        <v>178</v>
      </c>
      <c r="B107" s="78"/>
      <c r="C107" s="78"/>
      <c r="D107" s="78"/>
      <c r="E107" s="78"/>
      <c r="F107" s="78"/>
      <c r="G107" s="78"/>
      <c r="H107" s="78"/>
      <c r="I107" s="78"/>
      <c r="J107" s="79"/>
    </row>
    <row r="108" spans="1:10" s="4" customFormat="1" ht="84.75" customHeight="1" outlineLevel="1">
      <c r="A108" s="58" t="s">
        <v>318</v>
      </c>
      <c r="B108" s="64" t="s">
        <v>147</v>
      </c>
      <c r="C108" s="57" t="s">
        <v>148</v>
      </c>
      <c r="D108" s="103" t="s">
        <v>193</v>
      </c>
      <c r="E108" s="76"/>
      <c r="F108" s="76"/>
      <c r="G108" s="56"/>
      <c r="H108" s="104">
        <v>43115</v>
      </c>
      <c r="I108" s="57" t="s">
        <v>35</v>
      </c>
      <c r="J108" s="55"/>
    </row>
    <row r="109" spans="1:10" s="4" customFormat="1" ht="84.75" customHeight="1" outlineLevel="1">
      <c r="A109" s="58" t="s">
        <v>319</v>
      </c>
      <c r="B109" s="64" t="s">
        <v>156</v>
      </c>
      <c r="C109" s="57" t="s">
        <v>175</v>
      </c>
      <c r="D109" s="75" t="s">
        <v>176</v>
      </c>
      <c r="E109" s="76"/>
      <c r="F109" s="76"/>
      <c r="G109" s="56"/>
      <c r="H109" s="104">
        <v>43115</v>
      </c>
      <c r="I109" s="57" t="s">
        <v>35</v>
      </c>
      <c r="J109" s="55"/>
    </row>
    <row r="110" spans="1:10" s="4" customFormat="1" ht="84.75" customHeight="1" outlineLevel="1">
      <c r="A110" s="58" t="s">
        <v>320</v>
      </c>
      <c r="B110" s="64" t="s">
        <v>196</v>
      </c>
      <c r="C110" s="57" t="s">
        <v>194</v>
      </c>
      <c r="D110" s="75" t="s">
        <v>195</v>
      </c>
      <c r="E110" s="76"/>
      <c r="F110" s="76"/>
      <c r="G110" s="56"/>
      <c r="H110" s="104">
        <v>43115</v>
      </c>
      <c r="I110" s="57" t="s">
        <v>35</v>
      </c>
      <c r="J110" s="55"/>
    </row>
    <row r="111" spans="1:10" s="4" customFormat="1" ht="84.75" customHeight="1" outlineLevel="1">
      <c r="A111" s="58" t="s">
        <v>321</v>
      </c>
      <c r="B111" s="64" t="s">
        <v>196</v>
      </c>
      <c r="C111" s="57" t="s">
        <v>162</v>
      </c>
      <c r="D111" s="75" t="s">
        <v>105</v>
      </c>
      <c r="E111" s="76"/>
      <c r="F111" s="76"/>
      <c r="G111" s="56"/>
      <c r="H111" s="104">
        <v>43115</v>
      </c>
      <c r="I111" s="57" t="s">
        <v>35</v>
      </c>
      <c r="J111" s="55"/>
    </row>
    <row r="112" spans="1:10" s="4" customFormat="1" ht="84.75" customHeight="1" outlineLevel="1">
      <c r="A112" s="58" t="s">
        <v>322</v>
      </c>
      <c r="B112" s="64" t="s">
        <v>196</v>
      </c>
      <c r="C112" s="57" t="s">
        <v>194</v>
      </c>
      <c r="D112" s="75" t="s">
        <v>195</v>
      </c>
      <c r="E112" s="76"/>
      <c r="F112" s="76"/>
      <c r="G112" s="56"/>
      <c r="H112" s="104">
        <v>43115</v>
      </c>
      <c r="I112" s="57" t="s">
        <v>35</v>
      </c>
      <c r="J112" s="55"/>
    </row>
    <row r="113" spans="1:10" s="4" customFormat="1" ht="84.75" customHeight="1" outlineLevel="1">
      <c r="A113" s="58" t="s">
        <v>323</v>
      </c>
      <c r="B113" s="64" t="s">
        <v>196</v>
      </c>
      <c r="C113" s="57" t="s">
        <v>163</v>
      </c>
      <c r="D113" s="75" t="s">
        <v>197</v>
      </c>
      <c r="E113" s="76"/>
      <c r="F113" s="76"/>
      <c r="G113" s="56"/>
      <c r="H113" s="104">
        <v>43115</v>
      </c>
      <c r="I113" s="57" t="s">
        <v>35</v>
      </c>
      <c r="J113" s="55"/>
    </row>
    <row r="114" spans="1:10" s="4" customFormat="1" ht="84.75" customHeight="1" outlineLevel="1">
      <c r="A114" s="58" t="s">
        <v>324</v>
      </c>
      <c r="B114" s="64" t="s">
        <v>198</v>
      </c>
      <c r="C114" s="57" t="s">
        <v>199</v>
      </c>
      <c r="D114" s="75" t="s">
        <v>200</v>
      </c>
      <c r="E114" s="76"/>
      <c r="F114" s="76"/>
      <c r="G114" s="56"/>
      <c r="H114" s="104">
        <v>43115</v>
      </c>
      <c r="I114" s="57" t="s">
        <v>35</v>
      </c>
      <c r="J114" s="55" t="s">
        <v>167</v>
      </c>
    </row>
    <row r="115" spans="1:10" s="4" customFormat="1" ht="84.75" customHeight="1" outlineLevel="1">
      <c r="A115" s="58" t="s">
        <v>325</v>
      </c>
      <c r="B115" s="64" t="s">
        <v>147</v>
      </c>
      <c r="C115" s="57" t="s">
        <v>201</v>
      </c>
      <c r="D115" s="103" t="s">
        <v>193</v>
      </c>
      <c r="E115" s="76"/>
      <c r="F115" s="76"/>
      <c r="G115" s="56"/>
      <c r="H115" s="104">
        <v>43115</v>
      </c>
      <c r="I115" s="57" t="s">
        <v>35</v>
      </c>
      <c r="J115" s="55"/>
    </row>
    <row r="116" spans="1:10" s="4" customFormat="1" ht="84.75" customHeight="1" outlineLevel="1">
      <c r="A116" s="58" t="s">
        <v>326</v>
      </c>
      <c r="B116" s="64" t="s">
        <v>202</v>
      </c>
      <c r="C116" s="57" t="s">
        <v>203</v>
      </c>
      <c r="D116" s="75" t="s">
        <v>204</v>
      </c>
      <c r="E116" s="76"/>
      <c r="F116" s="76"/>
      <c r="G116" s="56"/>
      <c r="H116" s="104">
        <v>43115</v>
      </c>
      <c r="I116" s="57" t="s">
        <v>35</v>
      </c>
      <c r="J116" s="55"/>
    </row>
    <row r="117" spans="1:10" s="4" customFormat="1" ht="84.75" customHeight="1" outlineLevel="1">
      <c r="A117" s="58" t="s">
        <v>327</v>
      </c>
      <c r="B117" s="64" t="s">
        <v>202</v>
      </c>
      <c r="C117" s="57" t="s">
        <v>162</v>
      </c>
      <c r="D117" s="75" t="s">
        <v>105</v>
      </c>
      <c r="E117" s="76"/>
      <c r="F117" s="76"/>
      <c r="G117" s="56"/>
      <c r="H117" s="104">
        <v>43115</v>
      </c>
      <c r="I117" s="57" t="s">
        <v>35</v>
      </c>
      <c r="J117" s="55"/>
    </row>
    <row r="118" spans="1:10" s="4" customFormat="1" ht="84.75" customHeight="1" outlineLevel="1">
      <c r="A118" s="58" t="s">
        <v>328</v>
      </c>
      <c r="B118" s="64" t="s">
        <v>202</v>
      </c>
      <c r="C118" s="57" t="s">
        <v>203</v>
      </c>
      <c r="D118" s="75" t="s">
        <v>204</v>
      </c>
      <c r="E118" s="76"/>
      <c r="F118" s="76"/>
      <c r="G118" s="56"/>
      <c r="H118" s="104">
        <v>43115</v>
      </c>
      <c r="I118" s="57" t="s">
        <v>35</v>
      </c>
      <c r="J118" s="55"/>
    </row>
    <row r="119" spans="1:10" s="4" customFormat="1" ht="84.75" customHeight="1" outlineLevel="1">
      <c r="A119" s="58" t="s">
        <v>329</v>
      </c>
      <c r="B119" s="64" t="s">
        <v>202</v>
      </c>
      <c r="C119" s="57" t="s">
        <v>163</v>
      </c>
      <c r="D119" s="75" t="s">
        <v>222</v>
      </c>
      <c r="E119" s="76"/>
      <c r="F119" s="76"/>
      <c r="G119" s="56"/>
      <c r="H119" s="104">
        <v>43115</v>
      </c>
      <c r="I119" s="57" t="s">
        <v>35</v>
      </c>
      <c r="J119" s="55"/>
    </row>
    <row r="120" spans="1:10" s="4" customFormat="1" ht="12.75">
      <c r="A120" s="77" t="s">
        <v>223</v>
      </c>
      <c r="B120" s="78"/>
      <c r="C120" s="78"/>
      <c r="D120" s="78"/>
      <c r="E120" s="78"/>
      <c r="F120" s="78"/>
      <c r="G120" s="78"/>
      <c r="H120" s="78"/>
      <c r="I120" s="78"/>
      <c r="J120" s="79"/>
    </row>
    <row r="121" spans="1:10" s="4" customFormat="1" ht="38.25" outlineLevel="1">
      <c r="A121" s="58" t="s">
        <v>330</v>
      </c>
      <c r="B121" s="64" t="s">
        <v>191</v>
      </c>
      <c r="C121" s="57" t="s">
        <v>224</v>
      </c>
      <c r="D121" s="75" t="s">
        <v>71</v>
      </c>
      <c r="E121" s="76"/>
      <c r="F121" s="76"/>
      <c r="G121" s="56"/>
      <c r="H121" s="104">
        <v>43115</v>
      </c>
      <c r="I121" s="57" t="s">
        <v>35</v>
      </c>
      <c r="J121" s="55"/>
    </row>
    <row r="122" spans="1:10" s="4" customFormat="1" ht="39.75" customHeight="1" outlineLevel="1">
      <c r="A122" s="58" t="s">
        <v>331</v>
      </c>
      <c r="B122" s="64" t="s">
        <v>72</v>
      </c>
      <c r="C122" s="57" t="s">
        <v>73</v>
      </c>
      <c r="D122" s="75" t="s">
        <v>75</v>
      </c>
      <c r="E122" s="76"/>
      <c r="F122" s="76"/>
      <c r="G122" s="56"/>
      <c r="H122" s="104">
        <v>43115</v>
      </c>
      <c r="I122" s="57" t="s">
        <v>35</v>
      </c>
      <c r="J122" s="55"/>
    </row>
    <row r="123" spans="1:10" s="4" customFormat="1" ht="48" customHeight="1" outlineLevel="1">
      <c r="A123" s="58" t="s">
        <v>332</v>
      </c>
      <c r="B123" s="64" t="s">
        <v>191</v>
      </c>
      <c r="C123" s="57" t="s">
        <v>82</v>
      </c>
      <c r="D123" s="75" t="s">
        <v>83</v>
      </c>
      <c r="E123" s="76"/>
      <c r="F123" s="76"/>
      <c r="G123" s="56"/>
      <c r="H123" s="104">
        <v>43115</v>
      </c>
      <c r="I123" s="57" t="s">
        <v>35</v>
      </c>
      <c r="J123" s="55"/>
    </row>
    <row r="124" spans="1:10" s="4" customFormat="1" ht="12.75">
      <c r="A124" s="77" t="s">
        <v>178</v>
      </c>
      <c r="B124" s="78"/>
      <c r="C124" s="78"/>
      <c r="D124" s="78"/>
      <c r="E124" s="78"/>
      <c r="F124" s="78"/>
      <c r="G124" s="78"/>
      <c r="H124" s="78"/>
      <c r="I124" s="78"/>
      <c r="J124" s="79"/>
    </row>
    <row r="125" spans="1:10" s="4" customFormat="1" ht="84.75" customHeight="1" outlineLevel="1">
      <c r="A125" s="58" t="s">
        <v>333</v>
      </c>
      <c r="B125" s="64" t="s">
        <v>147</v>
      </c>
      <c r="C125" s="57" t="s">
        <v>148</v>
      </c>
      <c r="D125" s="103" t="s">
        <v>226</v>
      </c>
      <c r="E125" s="76"/>
      <c r="F125" s="76"/>
      <c r="G125" s="56"/>
      <c r="H125" s="104">
        <v>43115</v>
      </c>
      <c r="I125" s="57" t="s">
        <v>35</v>
      </c>
      <c r="J125" s="55"/>
    </row>
    <row r="126" spans="1:10" s="4" customFormat="1" ht="84.75" customHeight="1" outlineLevel="1">
      <c r="A126" s="58" t="s">
        <v>334</v>
      </c>
      <c r="B126" s="64" t="s">
        <v>156</v>
      </c>
      <c r="C126" s="57" t="s">
        <v>225</v>
      </c>
      <c r="D126" s="75" t="s">
        <v>176</v>
      </c>
      <c r="E126" s="76"/>
      <c r="F126" s="76"/>
      <c r="G126" s="56"/>
      <c r="H126" s="104">
        <v>43115</v>
      </c>
      <c r="I126" s="57" t="s">
        <v>35</v>
      </c>
      <c r="J126" s="55"/>
    </row>
    <row r="127" spans="1:10" s="4" customFormat="1" ht="84.75" customHeight="1" outlineLevel="1">
      <c r="A127" s="58" t="s">
        <v>335</v>
      </c>
      <c r="B127" s="64" t="s">
        <v>202</v>
      </c>
      <c r="C127" s="57" t="s">
        <v>203</v>
      </c>
      <c r="D127" s="75" t="s">
        <v>204</v>
      </c>
      <c r="E127" s="76"/>
      <c r="F127" s="76"/>
      <c r="G127" s="56"/>
      <c r="H127" s="104">
        <v>43115</v>
      </c>
      <c r="I127" s="57" t="s">
        <v>35</v>
      </c>
      <c r="J127" s="55"/>
    </row>
    <row r="128" spans="1:10" s="4" customFormat="1" ht="84.75" customHeight="1" outlineLevel="1">
      <c r="A128" s="58" t="s">
        <v>336</v>
      </c>
      <c r="B128" s="64" t="s">
        <v>202</v>
      </c>
      <c r="C128" s="57" t="s">
        <v>162</v>
      </c>
      <c r="D128" s="75" t="s">
        <v>105</v>
      </c>
      <c r="E128" s="76"/>
      <c r="F128" s="76"/>
      <c r="G128" s="56"/>
      <c r="H128" s="104">
        <v>43115</v>
      </c>
      <c r="I128" s="57" t="s">
        <v>35</v>
      </c>
      <c r="J128" s="55"/>
    </row>
    <row r="129" spans="1:10" s="4" customFormat="1" ht="84.75" customHeight="1" outlineLevel="1">
      <c r="A129" s="58" t="s">
        <v>337</v>
      </c>
      <c r="B129" s="64" t="s">
        <v>202</v>
      </c>
      <c r="C129" s="57" t="s">
        <v>203</v>
      </c>
      <c r="D129" s="75" t="s">
        <v>204</v>
      </c>
      <c r="E129" s="76"/>
      <c r="F129" s="76"/>
      <c r="G129" s="56"/>
      <c r="H129" s="104">
        <v>43115</v>
      </c>
      <c r="I129" s="57" t="s">
        <v>35</v>
      </c>
      <c r="J129" s="55"/>
    </row>
    <row r="130" spans="1:10" s="4" customFormat="1" ht="84.75" customHeight="1" outlineLevel="1">
      <c r="A130" s="58" t="s">
        <v>338</v>
      </c>
      <c r="B130" s="64" t="s">
        <v>202</v>
      </c>
      <c r="C130" s="57" t="s">
        <v>163</v>
      </c>
      <c r="D130" s="75" t="s">
        <v>227</v>
      </c>
      <c r="E130" s="76"/>
      <c r="F130" s="76"/>
      <c r="G130" s="56"/>
      <c r="H130" s="104">
        <v>43115</v>
      </c>
      <c r="I130" s="57" t="s">
        <v>35</v>
      </c>
      <c r="J130" s="55"/>
    </row>
  </sheetData>
  <mergeCells count="136">
    <mergeCell ref="D130:F130"/>
    <mergeCell ref="D127:F127"/>
    <mergeCell ref="D128:F128"/>
    <mergeCell ref="D129:F129"/>
    <mergeCell ref="A124:J124"/>
    <mergeCell ref="D125:F125"/>
    <mergeCell ref="D126:F126"/>
    <mergeCell ref="D119:F119"/>
    <mergeCell ref="B5:D5"/>
    <mergeCell ref="A120:J120"/>
    <mergeCell ref="D121:F121"/>
    <mergeCell ref="D122:F122"/>
    <mergeCell ref="D123:F123"/>
    <mergeCell ref="D113:F113"/>
    <mergeCell ref="D114:F114"/>
    <mergeCell ref="D115:F115"/>
    <mergeCell ref="D116:F116"/>
    <mergeCell ref="D117:F117"/>
    <mergeCell ref="D118:F118"/>
    <mergeCell ref="A107:J107"/>
    <mergeCell ref="D108:F108"/>
    <mergeCell ref="D109:F109"/>
    <mergeCell ref="D110:F110"/>
    <mergeCell ref="D111:F111"/>
    <mergeCell ref="D112:F112"/>
    <mergeCell ref="D101:F101"/>
    <mergeCell ref="D102:F102"/>
    <mergeCell ref="A103:J103"/>
    <mergeCell ref="D104:F104"/>
    <mergeCell ref="D105:F105"/>
    <mergeCell ref="D106:F106"/>
    <mergeCell ref="D95:F95"/>
    <mergeCell ref="D96:F96"/>
    <mergeCell ref="D97:F97"/>
    <mergeCell ref="D98:F98"/>
    <mergeCell ref="D99:F99"/>
    <mergeCell ref="D100:F100"/>
    <mergeCell ref="D89:F89"/>
    <mergeCell ref="D90:F90"/>
    <mergeCell ref="D91:F91"/>
    <mergeCell ref="D92:F92"/>
    <mergeCell ref="D93:F93"/>
    <mergeCell ref="A94:J94"/>
    <mergeCell ref="A83:J83"/>
    <mergeCell ref="D84:F84"/>
    <mergeCell ref="D85:F85"/>
    <mergeCell ref="D86:F86"/>
    <mergeCell ref="D87:F87"/>
    <mergeCell ref="D88:F88"/>
    <mergeCell ref="D77:F77"/>
    <mergeCell ref="D78:F78"/>
    <mergeCell ref="D79:F79"/>
    <mergeCell ref="D80:F80"/>
    <mergeCell ref="D81:F81"/>
    <mergeCell ref="D82:F82"/>
    <mergeCell ref="D71:F71"/>
    <mergeCell ref="D72:F72"/>
    <mergeCell ref="D73:F73"/>
    <mergeCell ref="D74:F74"/>
    <mergeCell ref="D75:F75"/>
    <mergeCell ref="D76:F76"/>
    <mergeCell ref="D65:F65"/>
    <mergeCell ref="D66:F66"/>
    <mergeCell ref="D67:F67"/>
    <mergeCell ref="D68:F68"/>
    <mergeCell ref="D69:F69"/>
    <mergeCell ref="D70:F70"/>
    <mergeCell ref="D59:F59"/>
    <mergeCell ref="D60:F60"/>
    <mergeCell ref="D61:F61"/>
    <mergeCell ref="D62:F62"/>
    <mergeCell ref="D63:F63"/>
    <mergeCell ref="D64:F64"/>
    <mergeCell ref="D53:F53"/>
    <mergeCell ref="D54:F54"/>
    <mergeCell ref="D55:F55"/>
    <mergeCell ref="D56:F56"/>
    <mergeCell ref="D57:F57"/>
    <mergeCell ref="D58:F58"/>
    <mergeCell ref="D47:F47"/>
    <mergeCell ref="D48:F48"/>
    <mergeCell ref="D49:F49"/>
    <mergeCell ref="D50:F50"/>
    <mergeCell ref="D51:F51"/>
    <mergeCell ref="D52:F52"/>
    <mergeCell ref="D41:F41"/>
    <mergeCell ref="D42:F42"/>
    <mergeCell ref="D43:F43"/>
    <mergeCell ref="D44:F44"/>
    <mergeCell ref="D45:F45"/>
    <mergeCell ref="D46:F46"/>
    <mergeCell ref="D35:F35"/>
    <mergeCell ref="D36:F36"/>
    <mergeCell ref="D37:F37"/>
    <mergeCell ref="D38:F38"/>
    <mergeCell ref="D39:F39"/>
    <mergeCell ref="D40:F40"/>
    <mergeCell ref="D29:F29"/>
    <mergeCell ref="D30:F30"/>
    <mergeCell ref="D31:F31"/>
    <mergeCell ref="D32:F32"/>
    <mergeCell ref="D33:F33"/>
    <mergeCell ref="D34:F34"/>
    <mergeCell ref="D23:F23"/>
    <mergeCell ref="D24:F24"/>
    <mergeCell ref="D25:F25"/>
    <mergeCell ref="D26:F26"/>
    <mergeCell ref="D27:F27"/>
    <mergeCell ref="D28:F28"/>
    <mergeCell ref="D17:F17"/>
    <mergeCell ref="D18:F18"/>
    <mergeCell ref="D19:F19"/>
    <mergeCell ref="D20:F20"/>
    <mergeCell ref="D21:F21"/>
    <mergeCell ref="D22:F22"/>
    <mergeCell ref="A11:J11"/>
    <mergeCell ref="A12:J12"/>
    <mergeCell ref="D13:F13"/>
    <mergeCell ref="D14:F14"/>
    <mergeCell ref="D15:F15"/>
    <mergeCell ref="A16:J16"/>
    <mergeCell ref="H7:J7"/>
    <mergeCell ref="A8:D8"/>
    <mergeCell ref="A9:A10"/>
    <mergeCell ref="B9:B10"/>
    <mergeCell ref="C9:C10"/>
    <mergeCell ref="D9:G10"/>
    <mergeCell ref="H9:H10"/>
    <mergeCell ref="I9:I10"/>
    <mergeCell ref="J9:J10"/>
    <mergeCell ref="B1:D2"/>
    <mergeCell ref="B3:D3"/>
    <mergeCell ref="H3:J3"/>
    <mergeCell ref="B4:D4"/>
    <mergeCell ref="H4:J4"/>
    <mergeCell ref="H6:J6"/>
  </mergeCells>
  <pageMargins left="0.74803149606299213" right="0.74803149606299213" top="0.98425196850393704" bottom="0.98425196850393704" header="0.51181102362204722" footer="0.51181102362204722"/>
  <pageSetup paperSize="9" scale="75" fitToHeight="0" orientation="landscape" horizontalDpi="300" verticalDpi="300" r:id="rId1"/>
  <headerFooter alignWithMargins="0">
    <oddFooter>Pagina &amp;P di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Cover</vt:lpstr>
      <vt:lpstr>Approvazione Standard</vt:lpstr>
      <vt:lpstr>Approvazione QP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Test Case</dc:subject>
  <dc:creator>Vadim V. Bobrenok</dc:creator>
  <dc:description>v1.2</dc:description>
  <cp:lastModifiedBy>admin</cp:lastModifiedBy>
  <cp:lastPrinted>2018-01-29T06:25:41Z</cp:lastPrinted>
  <dcterms:created xsi:type="dcterms:W3CDTF">2002-07-27T17:17:25Z</dcterms:created>
  <dcterms:modified xsi:type="dcterms:W3CDTF">2018-01-29T06:26:28Z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iority">
    <vt:lpwstr/>
  </property>
</Properties>
</file>
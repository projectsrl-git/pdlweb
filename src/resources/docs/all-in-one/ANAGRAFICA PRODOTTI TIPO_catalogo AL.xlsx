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17895" windowHeight="7365" activeTab="6"/>
  </bookViews>
  <sheets>
    <sheet name="ARCAL 1" sheetId="1" r:id="rId1"/>
    <sheet name="ARCAL 21" sheetId="2" r:id="rId2"/>
    <sheet name="TABELLE" sheetId="3" r:id="rId3"/>
    <sheet name="TABELLE (2)" sheetId="6" r:id="rId4"/>
    <sheet name="Foglio4" sheetId="4" r:id="rId5"/>
    <sheet name="Foglio1" sheetId="5" r:id="rId6"/>
    <sheet name="Foglio2" sheetId="7" r:id="rId7"/>
  </sheets>
  <definedNames>
    <definedName name="_xlnm._FilterDatabase" localSheetId="6" hidden="1">Foglio2!$A$1:$I$42</definedName>
  </definedNames>
  <calcPr calcId="145621"/>
</workbook>
</file>

<file path=xl/calcChain.xml><?xml version="1.0" encoding="utf-8"?>
<calcChain xmlns="http://schemas.openxmlformats.org/spreadsheetml/2006/main">
  <c r="G42" i="7" l="1"/>
  <c r="G33" i="7"/>
  <c r="G31" i="7"/>
  <c r="G29" i="7"/>
  <c r="G26" i="7"/>
  <c r="G25" i="7"/>
  <c r="G24" i="7"/>
  <c r="G20" i="7"/>
  <c r="G19" i="7"/>
  <c r="G16" i="7"/>
  <c r="G14" i="7"/>
  <c r="G13" i="7"/>
  <c r="G12" i="7"/>
  <c r="G10" i="7"/>
  <c r="G7" i="7"/>
  <c r="G5" i="7"/>
  <c r="G3" i="7"/>
  <c r="H14" i="7" l="1"/>
  <c r="H34" i="7"/>
  <c r="H23" i="7"/>
  <c r="H36" i="7"/>
  <c r="H37" i="7"/>
  <c r="H38" i="7"/>
  <c r="H39" i="7"/>
  <c r="H40" i="7"/>
  <c r="H24" i="7"/>
  <c r="H29" i="7"/>
  <c r="H32" i="7"/>
  <c r="H42" i="7"/>
  <c r="H16" i="7"/>
  <c r="H41" i="7"/>
  <c r="H28" i="7"/>
  <c r="H27" i="7"/>
  <c r="H5" i="7"/>
  <c r="H10" i="7"/>
  <c r="H7" i="7"/>
  <c r="H19" i="7"/>
  <c r="H13" i="7"/>
  <c r="H21" i="7"/>
  <c r="H25" i="7"/>
  <c r="H4" i="7"/>
  <c r="H31" i="7"/>
  <c r="H15" i="7"/>
  <c r="H22" i="7"/>
  <c r="H17" i="7"/>
  <c r="H18" i="7"/>
  <c r="H35" i="7"/>
  <c r="H26" i="7"/>
  <c r="H11" i="7"/>
  <c r="H12" i="7"/>
  <c r="H3" i="7"/>
  <c r="H30" i="7"/>
  <c r="H6" i="7"/>
  <c r="H20" i="7"/>
  <c r="H8" i="7"/>
  <c r="H9" i="7"/>
  <c r="H33" i="7"/>
  <c r="H2" i="7"/>
  <c r="G2" i="5"/>
  <c r="J20" i="6" l="1"/>
  <c r="J19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32" i="6"/>
  <c r="J25" i="6" l="1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24" i="6"/>
  <c r="T3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" i="6"/>
  <c r="O3" i="6"/>
  <c r="O4" i="6"/>
  <c r="O5" i="6"/>
  <c r="O6" i="6"/>
  <c r="O7" i="6"/>
  <c r="O8" i="6"/>
  <c r="O9" i="6"/>
  <c r="O10" i="6"/>
  <c r="O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2" i="6"/>
  <c r="I29" i="6" l="1"/>
  <c r="H29" i="6"/>
  <c r="B29" i="6"/>
  <c r="I28" i="6"/>
  <c r="H28" i="6"/>
  <c r="B28" i="6"/>
  <c r="I27" i="6"/>
  <c r="H27" i="6"/>
  <c r="B27" i="6"/>
  <c r="I26" i="6"/>
  <c r="H26" i="6"/>
  <c r="B26" i="6"/>
  <c r="I25" i="6"/>
  <c r="H25" i="6"/>
  <c r="B25" i="6"/>
  <c r="I24" i="6"/>
  <c r="H24" i="6"/>
  <c r="B24" i="6"/>
  <c r="I23" i="6"/>
  <c r="H23" i="6"/>
  <c r="B23" i="6"/>
  <c r="I22" i="6"/>
  <c r="H22" i="6"/>
  <c r="B22" i="6"/>
  <c r="I21" i="6"/>
  <c r="H21" i="6"/>
  <c r="B21" i="6"/>
  <c r="I20" i="6"/>
  <c r="H20" i="6"/>
  <c r="B20" i="6"/>
  <c r="I19" i="6"/>
  <c r="H19" i="6"/>
  <c r="B19" i="6"/>
  <c r="I18" i="6"/>
  <c r="H18" i="6"/>
  <c r="B18" i="6"/>
  <c r="I17" i="6"/>
  <c r="H17" i="6"/>
  <c r="B17" i="6"/>
  <c r="I16" i="6"/>
  <c r="H16" i="6"/>
  <c r="B16" i="6"/>
  <c r="I15" i="6"/>
  <c r="H15" i="6"/>
  <c r="B15" i="6"/>
  <c r="I14" i="6"/>
  <c r="H14" i="6"/>
  <c r="B14" i="6"/>
  <c r="I13" i="6"/>
  <c r="H13" i="6"/>
  <c r="B13" i="6"/>
  <c r="I12" i="6"/>
  <c r="H12" i="6"/>
  <c r="B12" i="6"/>
  <c r="I11" i="6"/>
  <c r="H11" i="6"/>
  <c r="B11" i="6"/>
  <c r="I10" i="6"/>
  <c r="H10" i="6"/>
  <c r="B10" i="6"/>
  <c r="I9" i="6"/>
  <c r="H9" i="6"/>
  <c r="B9" i="6"/>
  <c r="I8" i="6"/>
  <c r="H8" i="6"/>
  <c r="B8" i="6"/>
  <c r="I7" i="6"/>
  <c r="H7" i="6"/>
  <c r="B7" i="6"/>
  <c r="I6" i="6"/>
  <c r="H6" i="6"/>
  <c r="B6" i="6"/>
  <c r="I5" i="6"/>
  <c r="H5" i="6"/>
  <c r="B5" i="6"/>
  <c r="I4" i="6"/>
  <c r="H4" i="6"/>
  <c r="B4" i="6"/>
  <c r="I3" i="6"/>
  <c r="H3" i="6"/>
  <c r="B3" i="6"/>
  <c r="I2" i="6"/>
  <c r="H2" i="6"/>
  <c r="B2" i="6"/>
  <c r="D33" i="3" l="1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3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2" i="3"/>
  <c r="K3" i="3"/>
  <c r="K4" i="3"/>
  <c r="K5" i="3"/>
  <c r="K6" i="3"/>
  <c r="K7" i="3"/>
  <c r="K8" i="3"/>
  <c r="K9" i="3"/>
  <c r="K10" i="3"/>
  <c r="K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24" i="3"/>
  <c r="D2" i="3"/>
  <c r="A79" i="1"/>
  <c r="A80" i="1"/>
  <c r="A81" i="1"/>
  <c r="A82" i="1"/>
  <c r="A83" i="1"/>
  <c r="A84" i="1"/>
  <c r="A85" i="1"/>
  <c r="A86" i="1"/>
  <c r="A87" i="1"/>
  <c r="A88" i="1"/>
  <c r="A78" i="1"/>
  <c r="A66" i="1"/>
  <c r="A67" i="1"/>
  <c r="A68" i="1"/>
  <c r="A69" i="1"/>
  <c r="A70" i="1"/>
  <c r="A71" i="1"/>
  <c r="A72" i="1"/>
  <c r="A73" i="1"/>
  <c r="A74" i="1"/>
  <c r="A75" i="1"/>
  <c r="A65" i="1"/>
  <c r="A54" i="1"/>
  <c r="A55" i="1"/>
  <c r="A56" i="1"/>
  <c r="A57" i="1"/>
  <c r="A58" i="1"/>
  <c r="A59" i="1"/>
  <c r="A60" i="1"/>
  <c r="A61" i="1"/>
  <c r="A62" i="1"/>
  <c r="A53" i="1"/>
  <c r="A42" i="1"/>
  <c r="A43" i="1"/>
  <c r="A44" i="1"/>
  <c r="A45" i="1"/>
  <c r="A46" i="1"/>
  <c r="A47" i="1"/>
  <c r="A48" i="1"/>
  <c r="A49" i="1"/>
  <c r="A41" i="1"/>
  <c r="J22" i="1"/>
  <c r="J23" i="1"/>
  <c r="J24" i="1"/>
  <c r="J25" i="1"/>
  <c r="J26" i="1"/>
  <c r="J27" i="1"/>
  <c r="J28" i="1"/>
  <c r="J29" i="1"/>
  <c r="J21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2" i="3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</calcChain>
</file>

<file path=xl/sharedStrings.xml><?xml version="1.0" encoding="utf-8"?>
<sst xmlns="http://schemas.openxmlformats.org/spreadsheetml/2006/main" count="1450" uniqueCount="486">
  <si>
    <t>TABELLA COMPONENTI GAS</t>
  </si>
  <si>
    <t>TABELLA STRUMENTI ANALISI</t>
  </si>
  <si>
    <t>TABELLA FREQUENZA ANALISI</t>
  </si>
  <si>
    <t>IMPUREZZE</t>
  </si>
  <si>
    <r>
      <t>C</t>
    </r>
    <r>
      <rPr>
        <sz val="8"/>
        <rFont val="Arial"/>
      </rPr>
      <t>2</t>
    </r>
    <r>
      <rPr>
        <sz val="10"/>
        <color rgb="FF000000"/>
        <rFont val="Arial"/>
      </rPr>
      <t>H</t>
    </r>
    <r>
      <rPr>
        <sz val="8"/>
        <rFont val="Arial"/>
      </rPr>
      <t>2</t>
    </r>
  </si>
  <si>
    <t>Buretta Claude</t>
  </si>
  <si>
    <t>1 analisi / lotto carburo</t>
  </si>
  <si>
    <r>
      <t>N</t>
    </r>
    <r>
      <rPr>
        <sz val="8"/>
        <rFont val="Arial"/>
      </rPr>
      <t>2</t>
    </r>
  </si>
  <si>
    <r>
      <t>C</t>
    </r>
    <r>
      <rPr>
        <sz val="8"/>
        <rFont val="Arial"/>
      </rPr>
      <t>2</t>
    </r>
    <r>
      <rPr>
        <sz val="10"/>
        <color rgb="FF000000"/>
        <rFont val="Arial"/>
      </rPr>
      <t>H</t>
    </r>
    <r>
      <rPr>
        <sz val="8"/>
        <rFont val="Arial"/>
      </rPr>
      <t>4</t>
    </r>
  </si>
  <si>
    <t>EL</t>
  </si>
  <si>
    <t>1 bombola / lotto</t>
  </si>
  <si>
    <r>
      <t>AsH</t>
    </r>
    <r>
      <rPr>
        <sz val="8"/>
        <rFont val="Arial"/>
      </rPr>
      <t>3</t>
    </r>
  </si>
  <si>
    <r>
      <t>CO</t>
    </r>
    <r>
      <rPr>
        <sz val="8"/>
        <rFont val="Arial"/>
      </rPr>
      <t>2</t>
    </r>
  </si>
  <si>
    <t>IR</t>
  </si>
  <si>
    <t>1 bombola / lotto solo 1°riempimento</t>
  </si>
  <si>
    <r>
      <t>H</t>
    </r>
    <r>
      <rPr>
        <sz val="8"/>
        <rFont val="Arial"/>
      </rPr>
      <t>2</t>
    </r>
    <r>
      <rPr>
        <sz val="10"/>
        <color rgb="FF000000"/>
        <rFont val="Arial"/>
      </rPr>
      <t>O (5 bar)</t>
    </r>
  </si>
  <si>
    <r>
      <t>N</t>
    </r>
    <r>
      <rPr>
        <sz val="8"/>
        <rFont val="Arial"/>
      </rPr>
      <t>2</t>
    </r>
  </si>
  <si>
    <t>PM</t>
  </si>
  <si>
    <t>1 bombola / cambio cisterna</t>
  </si>
  <si>
    <r>
      <t>H</t>
    </r>
    <r>
      <rPr>
        <sz val="8"/>
        <rFont val="Arial"/>
      </rPr>
      <t>2</t>
    </r>
    <r>
      <rPr>
        <sz val="10"/>
        <color rgb="FF000000"/>
        <rFont val="Arial"/>
      </rPr>
      <t xml:space="preserve">O </t>
    </r>
  </si>
  <si>
    <r>
      <t>O</t>
    </r>
    <r>
      <rPr>
        <sz val="8"/>
        <rFont val="Arial"/>
      </rPr>
      <t>2</t>
    </r>
  </si>
  <si>
    <t>EL / ZR</t>
  </si>
  <si>
    <t>Tutte le bombole</t>
  </si>
  <si>
    <r>
      <t>O</t>
    </r>
    <r>
      <rPr>
        <sz val="8"/>
        <rFont val="Arial"/>
      </rPr>
      <t>2</t>
    </r>
  </si>
  <si>
    <t>Ar</t>
  </si>
  <si>
    <t>DID</t>
  </si>
  <si>
    <t>Tutti i pacchi</t>
  </si>
  <si>
    <t>CO</t>
  </si>
  <si>
    <t>He</t>
  </si>
  <si>
    <t>AID</t>
  </si>
  <si>
    <t>1 bombola /trimestre</t>
  </si>
  <si>
    <r>
      <t>NO+NO</t>
    </r>
    <r>
      <rPr>
        <sz val="8"/>
        <rFont val="Arial"/>
      </rPr>
      <t>2</t>
    </r>
  </si>
  <si>
    <r>
      <t>H</t>
    </r>
    <r>
      <rPr>
        <sz val="8"/>
        <rFont val="Arial"/>
      </rPr>
      <t>2</t>
    </r>
  </si>
  <si>
    <t>EC</t>
  </si>
  <si>
    <t>1 bombola / mese</t>
  </si>
  <si>
    <r>
      <t>C</t>
    </r>
    <r>
      <rPr>
        <sz val="8"/>
        <rFont val="Arial"/>
      </rPr>
      <t>n</t>
    </r>
    <r>
      <rPr>
        <sz val="10"/>
        <color rgb="FF000000"/>
        <rFont val="Arial"/>
      </rPr>
      <t>H</t>
    </r>
    <r>
      <rPr>
        <sz val="8"/>
        <rFont val="Arial"/>
      </rPr>
      <t>m</t>
    </r>
  </si>
  <si>
    <r>
      <t>CH</t>
    </r>
    <r>
      <rPr>
        <sz val="8"/>
        <rFont val="Arial"/>
      </rPr>
      <t>4</t>
    </r>
  </si>
  <si>
    <t>IG</t>
  </si>
  <si>
    <t>1 contenitore / lotto</t>
  </si>
  <si>
    <t>S Totale</t>
  </si>
  <si>
    <r>
      <t>C</t>
    </r>
    <r>
      <rPr>
        <sz val="8"/>
        <rFont val="Arial"/>
      </rPr>
      <t>3</t>
    </r>
    <r>
      <rPr>
        <sz val="10"/>
        <color rgb="FF000000"/>
        <rFont val="Arial"/>
      </rPr>
      <t>H</t>
    </r>
    <r>
      <rPr>
        <sz val="8"/>
        <rFont val="Arial"/>
      </rPr>
      <t>8</t>
    </r>
  </si>
  <si>
    <t>TCD</t>
  </si>
  <si>
    <t>Oli</t>
  </si>
  <si>
    <r>
      <t>C</t>
    </r>
    <r>
      <rPr>
        <sz val="8"/>
        <rFont val="Arial"/>
      </rPr>
      <t>3</t>
    </r>
    <r>
      <rPr>
        <sz val="10"/>
        <color rgb="FF000000"/>
        <rFont val="Arial"/>
      </rPr>
      <t>H</t>
    </r>
    <r>
      <rPr>
        <sz val="8"/>
        <rFont val="Arial"/>
      </rPr>
      <t>6</t>
    </r>
  </si>
  <si>
    <t>PM / ZR</t>
  </si>
  <si>
    <t>NVOC</t>
  </si>
  <si>
    <t>P.C.I.</t>
  </si>
  <si>
    <t>GC - TCD</t>
  </si>
  <si>
    <r>
      <t>H</t>
    </r>
    <r>
      <rPr>
        <sz val="8"/>
        <rFont val="Arial"/>
      </rPr>
      <t>2</t>
    </r>
  </si>
  <si>
    <t>P.C.S.</t>
  </si>
  <si>
    <t>GC</t>
  </si>
  <si>
    <r>
      <t>CO</t>
    </r>
    <r>
      <rPr>
        <sz val="8"/>
        <rFont val="Arial"/>
      </rPr>
      <t>2</t>
    </r>
  </si>
  <si>
    <t>I.W.I.</t>
  </si>
  <si>
    <t>THC</t>
  </si>
  <si>
    <t>NO / NOx</t>
  </si>
  <si>
    <t>I.W.S.</t>
  </si>
  <si>
    <t>NOx</t>
  </si>
  <si>
    <t>Densità relativa</t>
  </si>
  <si>
    <r>
      <t>SO</t>
    </r>
    <r>
      <rPr>
        <sz val="8"/>
        <rFont val="Arial"/>
      </rPr>
      <t>2</t>
    </r>
  </si>
  <si>
    <r>
      <t>CH</t>
    </r>
    <r>
      <rPr>
        <sz val="8"/>
        <rFont val="Arial"/>
      </rPr>
      <t>4</t>
    </r>
    <r>
      <rPr>
        <sz val="10"/>
        <color rgb="FF000000"/>
        <rFont val="Arial"/>
      </rPr>
      <t>H</t>
    </r>
    <r>
      <rPr>
        <sz val="8"/>
        <rFont val="Arial"/>
      </rPr>
      <t>10</t>
    </r>
    <r>
      <rPr>
        <sz val="10"/>
        <color rgb="FF000000"/>
        <rFont val="Arial"/>
      </rPr>
      <t xml:space="preserve"> - n</t>
    </r>
  </si>
  <si>
    <t>TABELLA ETICHETTA ADR</t>
  </si>
  <si>
    <t>Tipologia allestimento</t>
  </si>
  <si>
    <t>Gas rari</t>
  </si>
  <si>
    <t>Xe</t>
  </si>
  <si>
    <t>Etichetta per Bombole</t>
  </si>
  <si>
    <t>ALTOP</t>
  </si>
  <si>
    <r>
      <t>H</t>
    </r>
    <r>
      <rPr>
        <sz val="8"/>
        <rFont val="Arial"/>
      </rPr>
      <t>2</t>
    </r>
    <r>
      <rPr>
        <sz val="10"/>
        <color rgb="FF000000"/>
        <rFont val="Arial"/>
      </rPr>
      <t>S</t>
    </r>
  </si>
  <si>
    <t>N.A.</t>
  </si>
  <si>
    <t>Etichetta per pacchi</t>
  </si>
  <si>
    <t>REGULAR</t>
  </si>
  <si>
    <r>
      <t>CH</t>
    </r>
    <r>
      <rPr>
        <sz val="8"/>
        <rFont val="Arial"/>
      </rPr>
      <t>4</t>
    </r>
  </si>
  <si>
    <r>
      <t>N</t>
    </r>
    <r>
      <rPr>
        <sz val="8"/>
        <rFont val="Arial"/>
      </rPr>
      <t>2</t>
    </r>
    <r>
      <rPr>
        <sz val="10"/>
        <color rgb="FF000000"/>
        <rFont val="Arial"/>
      </rPr>
      <t>O</t>
    </r>
  </si>
  <si>
    <t>SMARTOP</t>
  </si>
  <si>
    <t>Kr</t>
  </si>
  <si>
    <t>R134a</t>
  </si>
  <si>
    <t>ALBEE</t>
  </si>
  <si>
    <t>Ne</t>
  </si>
  <si>
    <t>R143a</t>
  </si>
  <si>
    <t>TABELLA SITI ABILITATI</t>
  </si>
  <si>
    <t>PRESTOP</t>
  </si>
  <si>
    <t>Incondensabili in fase vapore</t>
  </si>
  <si>
    <t>R125</t>
  </si>
  <si>
    <t>Grugliasco (TO)</t>
  </si>
  <si>
    <t>PACCO</t>
  </si>
  <si>
    <t>Impurezza alto bollenti</t>
  </si>
  <si>
    <t>R32</t>
  </si>
  <si>
    <t>Sannazzaro (PV)</t>
  </si>
  <si>
    <t>SCARABEO</t>
  </si>
  <si>
    <t>Acidità</t>
  </si>
  <si>
    <t>R218</t>
  </si>
  <si>
    <t>Rodano (MI)</t>
  </si>
  <si>
    <t>Alogenuri</t>
  </si>
  <si>
    <t>R600</t>
  </si>
  <si>
    <t>Rodano MOD</t>
  </si>
  <si>
    <t>Pentano</t>
  </si>
  <si>
    <t>Chieve (CR)</t>
  </si>
  <si>
    <t>Fosfuri, Solfuri, Sost. Riducenti</t>
  </si>
  <si>
    <t>ETO</t>
  </si>
  <si>
    <t>Trevenzuolo (VR)</t>
  </si>
  <si>
    <t>TABELLA CODICI MATERIALI</t>
  </si>
  <si>
    <t>Residuo dell'evaporazione</t>
  </si>
  <si>
    <t>Trevenzuolo NAZIONALE - ITKF</t>
  </si>
  <si>
    <t>FAMIGLIA ALLESTIMENTO</t>
  </si>
  <si>
    <t>Padova</t>
  </si>
  <si>
    <t xml:space="preserve">OSSIGENO Industriale </t>
  </si>
  <si>
    <t>Modena</t>
  </si>
  <si>
    <t>ACETILENE Industriale</t>
  </si>
  <si>
    <t>Ravenna</t>
  </si>
  <si>
    <t>DIOSSIDO DI CARBONIO industriale</t>
  </si>
  <si>
    <t>Porto Recanati (MC)</t>
  </si>
  <si>
    <t>ELIO Industriale</t>
  </si>
  <si>
    <t>Lucca</t>
  </si>
  <si>
    <t>AZOTO Industriale</t>
  </si>
  <si>
    <t>Lanuvio (RM)</t>
  </si>
  <si>
    <t>IDROGENO industriale</t>
  </si>
  <si>
    <t>Caserta (CE)</t>
  </si>
  <si>
    <t>NOXAL Infiammabile</t>
  </si>
  <si>
    <t>Ostuni (BR)</t>
  </si>
  <si>
    <t>NOXAL Inerte</t>
  </si>
  <si>
    <t>Priolo (SR)</t>
  </si>
  <si>
    <t>ARIA Industriale NON RESPIRABILE</t>
  </si>
  <si>
    <t>Assemini (CA)</t>
  </si>
  <si>
    <t>ATAL industriale</t>
  </si>
  <si>
    <t>Argon Industriale</t>
  </si>
  <si>
    <t>SIOETIL</t>
  </si>
  <si>
    <t>MIX AZOTO - IDROGENO INERTE</t>
  </si>
  <si>
    <t>ALIGAL 1</t>
  </si>
  <si>
    <t xml:space="preserve">ALIGAL 2 </t>
  </si>
  <si>
    <t>ALIGAL 3</t>
  </si>
  <si>
    <t>ALIGAL 6</t>
  </si>
  <si>
    <t>ALIGAL MIX</t>
  </si>
  <si>
    <t>ALIGAL 49</t>
  </si>
  <si>
    <t>ALIGAL 62</t>
  </si>
  <si>
    <t>ARCAL 1</t>
  </si>
  <si>
    <t>ARCAL MIX</t>
  </si>
  <si>
    <t>ARCA MIX TP</t>
  </si>
  <si>
    <t>ACETILENE  N26</t>
  </si>
  <si>
    <t>OSSIGENO ALTOP</t>
  </si>
  <si>
    <t>LASAL MIX/81</t>
  </si>
  <si>
    <t>LASAL 1</t>
  </si>
  <si>
    <t>LASAL 2</t>
  </si>
  <si>
    <t>LASAL 2003</t>
  </si>
  <si>
    <t>LASAL 83</t>
  </si>
  <si>
    <t>N2O PURO</t>
  </si>
  <si>
    <t>ALPHAGAZ ELIO</t>
  </si>
  <si>
    <t>ALPHAGAZ  ARGON</t>
  </si>
  <si>
    <t>ALPHAGAZ ARIA</t>
  </si>
  <si>
    <t>ALPHAGAZ OSSIGENO</t>
  </si>
  <si>
    <t>ALPHAGAZ AZOTO</t>
  </si>
  <si>
    <t>AHG MIX Inerte</t>
  </si>
  <si>
    <t>AHG MIX Infiammabile</t>
  </si>
  <si>
    <t>CO2 PURO senza TP</t>
  </si>
  <si>
    <t>CO2 PURO con TP</t>
  </si>
  <si>
    <t>BOMBOLE GRANDI</t>
  </si>
  <si>
    <t>Entrambi</t>
  </si>
  <si>
    <t>Commercial Name</t>
  </si>
  <si>
    <t>ARCAL 21</t>
  </si>
  <si>
    <t>Manuale prodotti condizionati</t>
  </si>
  <si>
    <t>Composizione</t>
  </si>
  <si>
    <t>Componente</t>
  </si>
  <si>
    <t>Strumento di Analisi</t>
  </si>
  <si>
    <t>Frequenza di Analisi</t>
  </si>
  <si>
    <t>&gt;= 99,998%</t>
  </si>
  <si>
    <t>Impurezze garantite</t>
  </si>
  <si>
    <t>Soglia Analisi</t>
  </si>
  <si>
    <t>Da Processo</t>
  </si>
  <si>
    <t>Strumento Analisi</t>
  </si>
  <si>
    <t>Frequenza Analisi</t>
  </si>
  <si>
    <t>H2O</t>
  </si>
  <si>
    <t>&lt;= 5 ppm</t>
  </si>
  <si>
    <t>1 bb/lotto solo 1° riempimento</t>
  </si>
  <si>
    <t>O2</t>
  </si>
  <si>
    <t>EL/ZR</t>
  </si>
  <si>
    <t>1bb/mese</t>
  </si>
  <si>
    <t>N2</t>
  </si>
  <si>
    <t>&lt;= 10 ppm</t>
  </si>
  <si>
    <t>Dati Tecnici</t>
  </si>
  <si>
    <t>Pressione di carica</t>
  </si>
  <si>
    <t>200 bar</t>
  </si>
  <si>
    <t>Scheda di sicurezza</t>
  </si>
  <si>
    <t>AL.003A</t>
  </si>
  <si>
    <t>Siti abilitati alla produzione</t>
  </si>
  <si>
    <t>Tutti i siti</t>
  </si>
  <si>
    <t>Elenco prodotti disponibili</t>
  </si>
  <si>
    <t>Etichetta Bombole</t>
  </si>
  <si>
    <t>Famiglia Allestimento</t>
  </si>
  <si>
    <t>Codice prodotto</t>
  </si>
  <si>
    <t>Descrizione prodotto</t>
  </si>
  <si>
    <t>Etichetta ADR</t>
  </si>
  <si>
    <t>Cod. SAP etichetta</t>
  </si>
  <si>
    <t>Argon</t>
  </si>
  <si>
    <t>I2010L40A2A001</t>
  </si>
  <si>
    <t>ARCAL 1 BB-L ALTOP 40/200</t>
  </si>
  <si>
    <t>I2010L50A2A001</t>
  </si>
  <si>
    <t>ARCAL 1 BB-L ALTOP 50/200</t>
  </si>
  <si>
    <t>I2010L40R2A001</t>
  </si>
  <si>
    <t>ARCAL 1 BB-L REG 40/200</t>
  </si>
  <si>
    <t>I2010L50R2A001</t>
  </si>
  <si>
    <t>ARCAL 1 BB-L REG 50/200</t>
  </si>
  <si>
    <t>I2010L40S2A001</t>
  </si>
  <si>
    <t>ARCAL 1 BB-L SMARTOP 40/200</t>
  </si>
  <si>
    <t>Etichetta Pacchi</t>
  </si>
  <si>
    <t>I2010L50S2A001</t>
  </si>
  <si>
    <t>ARCAL 1 BB-L SMARTOP 50/200</t>
  </si>
  <si>
    <t>I2010V16Z2A001</t>
  </si>
  <si>
    <t>ARCAL 1 PP-L V16*40/200</t>
  </si>
  <si>
    <t>I2010V16R2A001</t>
  </si>
  <si>
    <t>ARCAL 1 PP-L V16*50/200</t>
  </si>
  <si>
    <t>I2010V12R2A001</t>
  </si>
  <si>
    <t>ARCAL 1 PP-M V12*50/200</t>
  </si>
  <si>
    <t>Visibilità</t>
  </si>
  <si>
    <t>Descrizione</t>
  </si>
  <si>
    <t>Catalogo Allestimento</t>
  </si>
  <si>
    <t>Colore corpo bombola</t>
  </si>
  <si>
    <t>Blu RAL 5015 - a polvere/idrosolubile</t>
  </si>
  <si>
    <t>Colore ogiva</t>
  </si>
  <si>
    <t>Verde Scuro RAL 6001 - idrosolubile</t>
  </si>
  <si>
    <t>Allestimento specifico BOMBOLE</t>
  </si>
  <si>
    <t>TIPOLOGIA</t>
  </si>
  <si>
    <t>Caratteristica</t>
  </si>
  <si>
    <t>Materiale</t>
  </si>
  <si>
    <t>Codice SAP</t>
  </si>
  <si>
    <t>Allestimento ARCAL 1 Regular</t>
  </si>
  <si>
    <t>Taglia autorizzata</t>
  </si>
  <si>
    <t>40 litri e 50 litri - acciaio</t>
  </si>
  <si>
    <t>Valvola</t>
  </si>
  <si>
    <t>Tipo ARGON RPV non cromato</t>
  </si>
  <si>
    <t>Cappellotto</t>
  </si>
  <si>
    <t>Tipo EXAL - Blu RAL 5015</t>
  </si>
  <si>
    <t>Tipo SCANDINA in metallo - Blu</t>
  </si>
  <si>
    <t>Termoretraibile</t>
  </si>
  <si>
    <t>Non previsto</t>
  </si>
  <si>
    <t>Sigillo riempimento</t>
  </si>
  <si>
    <t>Grigio, sulla valvola</t>
  </si>
  <si>
    <t>Cartellino</t>
  </si>
  <si>
    <t>Barcode</t>
  </si>
  <si>
    <t>Su collare bombola</t>
  </si>
  <si>
    <t>Anello di scadenza</t>
  </si>
  <si>
    <t>Attorno alla vavola</t>
  </si>
  <si>
    <t>????</t>
  </si>
  <si>
    <t>Allestimento ARCAL 1 Smartop</t>
  </si>
  <si>
    <t>40 litri e 50 litri - Acciaio</t>
  </si>
  <si>
    <t>Tipo Smartop Argon</t>
  </si>
  <si>
    <t>Tipo Exal Blu RAL 5015</t>
  </si>
  <si>
    <t>Tipo Scandina Blu RAL 5015</t>
  </si>
  <si>
    <t>Adesivo Sicurezza giallo</t>
  </si>
  <si>
    <t>Sulla valvola Smartop</t>
  </si>
  <si>
    <t>Allestimento ARCAL 1 Altop</t>
  </si>
  <si>
    <t>50 lt - Acciaio</t>
  </si>
  <si>
    <t>Tipo ALTOP ARGON</t>
  </si>
  <si>
    <t>Tipo Altop - Blu RAL 5015</t>
  </si>
  <si>
    <t>Grani a punta</t>
  </si>
  <si>
    <t>Fissaggio cappellotto 2X</t>
  </si>
  <si>
    <t>Viti in plastica</t>
  </si>
  <si>
    <t>Fissaggio coperchio cappellotto</t>
  </si>
  <si>
    <t>Su leva riempimento</t>
  </si>
  <si>
    <t>Adesivo Avvertenza</t>
  </si>
  <si>
    <t>Su cappellotto</t>
  </si>
  <si>
    <t>Adesivo NON RIMUOVERE</t>
  </si>
  <si>
    <t>Su foro riempimento</t>
  </si>
  <si>
    <t>Allestimento ARCAL 1 Pacco</t>
  </si>
  <si>
    <t>16 x 50 e 16 x 40</t>
  </si>
  <si>
    <t>Argon per pacchi</t>
  </si>
  <si>
    <t>Su pannello anteriore e posteriore</t>
  </si>
  <si>
    <t>Anello scadenza</t>
  </si>
  <si>
    <t>Su 4 bombole anteriori</t>
  </si>
  <si>
    <t>Staffa supporto valvola</t>
  </si>
  <si>
    <t>Per valvola verticale o orizzontale</t>
  </si>
  <si>
    <t>Blocchetto valvola</t>
  </si>
  <si>
    <t>in ottone, su vavola verticale</t>
  </si>
  <si>
    <t>Logo ADR + brand</t>
  </si>
  <si>
    <t>Su pannello frontale</t>
  </si>
  <si>
    <t>Pittogrammi ADR</t>
  </si>
  <si>
    <t>Su 3 lati senza valvola</t>
  </si>
  <si>
    <t>Aggiungi</t>
  </si>
  <si>
    <t>X</t>
  </si>
  <si>
    <t>SALVA</t>
  </si>
  <si>
    <t>CO2</t>
  </si>
  <si>
    <t>8% (+/- 0,8% abs)</t>
  </si>
  <si>
    <t>1bb/trimestre</t>
  </si>
  <si>
    <t>Resto</t>
  </si>
  <si>
    <t>H2O (5bar)</t>
  </si>
  <si>
    <t>&lt;= 40 ppm</t>
  </si>
  <si>
    <t>&lt;= 200 ppm</t>
  </si>
  <si>
    <t>&lt;= 50 ppm</t>
  </si>
  <si>
    <t>1bb/trimese</t>
  </si>
  <si>
    <t>AL.5.8.1</t>
  </si>
  <si>
    <t>Mix Argon</t>
  </si>
  <si>
    <t>I2560L40A2A001</t>
  </si>
  <si>
    <t>ARCAL 21 BB-L ALTOP 40/200</t>
  </si>
  <si>
    <t>I2560L50A2A001</t>
  </si>
  <si>
    <t>ARCAL 21 BB-L ALTOP 50/200</t>
  </si>
  <si>
    <t>I2560L40R2A001</t>
  </si>
  <si>
    <t>ARCAL 21 BB-L REG 40/200</t>
  </si>
  <si>
    <t>I2560L50R2A001</t>
  </si>
  <si>
    <t>ARCAL 21 BB-L REG 50/200</t>
  </si>
  <si>
    <t>I2560L40S2A001</t>
  </si>
  <si>
    <t>ARCAL 21 BB-L SMARTOP 40/200</t>
  </si>
  <si>
    <t>I2560L50S2A001</t>
  </si>
  <si>
    <t>ARCAL 21 BB-L SMARTOP 50/200</t>
  </si>
  <si>
    <t>I2560V16Z2A001</t>
  </si>
  <si>
    <t>ARCAL 21 PP-L V16*40/200</t>
  </si>
  <si>
    <t>I2560V16R2A001</t>
  </si>
  <si>
    <t>ARCAL 21 PP-L V16*50/200</t>
  </si>
  <si>
    <t>I2560V12R2A001</t>
  </si>
  <si>
    <t>ARCAL 21 PP-M V12*50/200</t>
  </si>
  <si>
    <t>Verde Brillante RAL 6018 - idrosolubile</t>
  </si>
  <si>
    <t>Allestimento REGULAR ARCAL MIX</t>
  </si>
  <si>
    <t>Allestimento ARCAL MIX Regular</t>
  </si>
  <si>
    <t>Allestimento SMARTOP ARCAL MIX</t>
  </si>
  <si>
    <t>Allestimento ARCAL MIX Smartop</t>
  </si>
  <si>
    <t>Allestimento ALTOP ARCAL MIX</t>
  </si>
  <si>
    <t>Allestimento ARCAL MIX Altop</t>
  </si>
  <si>
    <t>In policarbonato - Blu RAL 5015</t>
  </si>
  <si>
    <t>Allestimento PACCHI ARCAL MIX</t>
  </si>
  <si>
    <t>Allestimento ARCAL MIX Pacco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</si>
  <si>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</si>
  <si>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</si>
  <si>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</si>
  <si>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</si>
  <si>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</si>
  <si>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</si>
  <si>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</si>
  <si>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</si>
  <si>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</si>
  <si>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</si>
  <si>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</si>
  <si>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</si>
  <si>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</si>
  <si>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</si>
  <si>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</si>
  <si>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</si>
  <si>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</si>
  <si>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</si>
  <si>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</si>
  <si>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</si>
  <si>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</si>
  <si>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</si>
  <si>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</si>
  <si>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</si>
  <si>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</si>
  <si>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</si>
  <si>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</si>
  <si>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</si>
  <si>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NOME_COMMERCIALE</t>
  </si>
  <si>
    <t>COMPOSIZIONE</t>
  </si>
  <si>
    <t>FAMIGLIA_PRODOTTO</t>
  </si>
  <si>
    <t>COD_PRODOTTO</t>
  </si>
  <si>
    <t>DESCRIZIONE_PRODOTTO</t>
  </si>
  <si>
    <t>COD_SAP</t>
  </si>
  <si>
    <t>CO2, Ar</t>
  </si>
  <si>
    <r>
      <t>C</t>
    </r>
    <r>
      <rPr>
        <sz val="8"/>
        <rFont val="Arial"/>
      </rPr>
      <t>₂</t>
    </r>
    <r>
      <rPr>
        <sz val="10"/>
        <color rgb="FF000000"/>
        <rFont val="Arial"/>
      </rPr>
      <t>H₂</t>
    </r>
  </si>
  <si>
    <t>CO₂</t>
  </si>
  <si>
    <t>O₂</t>
  </si>
  <si>
    <t>N₂</t>
  </si>
  <si>
    <r>
      <t>C₂</t>
    </r>
    <r>
      <rPr>
        <sz val="10"/>
        <color rgb="FF000000"/>
        <rFont val="Arial"/>
      </rPr>
      <t>H₄</t>
    </r>
  </si>
  <si>
    <t>CH₄</t>
  </si>
  <si>
    <r>
      <t>C₃</t>
    </r>
    <r>
      <rPr>
        <sz val="10"/>
        <color rgb="FF000000"/>
        <rFont val="Arial"/>
      </rPr>
      <t>H₈</t>
    </r>
  </si>
  <si>
    <r>
      <t>C₃</t>
    </r>
    <r>
      <rPr>
        <sz val="10"/>
        <color rgb="FF000000"/>
        <rFont val="Arial"/>
      </rPr>
      <t>H₆</t>
    </r>
  </si>
  <si>
    <r>
      <t>N₂</t>
    </r>
    <r>
      <rPr>
        <sz val="10"/>
        <color rgb="FF000000"/>
        <rFont val="Arial"/>
      </rPr>
      <t>O</t>
    </r>
  </si>
  <si>
    <t>H₂</t>
  </si>
  <si>
    <r>
      <t>CH₄</t>
    </r>
    <r>
      <rPr>
        <sz val="10"/>
        <color rgb="FF000000"/>
        <rFont val="Arial"/>
      </rPr>
      <t>H₁₀ - n</t>
    </r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</si>
  <si>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</si>
  <si>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</si>
  <si>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</si>
  <si>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</si>
  <si>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</si>
  <si>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</si>
  <si>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</si>
  <si>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</si>
  <si>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</si>
  <si>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</si>
  <si>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</si>
  <si>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</si>
  <si>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</si>
  <si>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</si>
  <si>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GAS</t>
  </si>
  <si>
    <t>STR</t>
  </si>
  <si>
    <t>FQA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</si>
  <si>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</si>
  <si>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</si>
  <si>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</si>
  <si>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</si>
  <si>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</si>
  <si>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</si>
  <si>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</si>
  <si>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</si>
  <si>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</si>
  <si>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AsH₃</t>
  </si>
  <si>
    <r>
      <t>H₂</t>
    </r>
    <r>
      <rPr>
        <sz val="10"/>
        <color rgb="FF000000"/>
        <rFont val="Arial"/>
      </rPr>
      <t>O (5 bar)</t>
    </r>
  </si>
  <si>
    <r>
      <t>H₂</t>
    </r>
    <r>
      <rPr>
        <sz val="10"/>
        <color rgb="FF000000"/>
        <rFont val="Arial"/>
      </rPr>
      <t>O</t>
    </r>
  </si>
  <si>
    <t>NO+NO₂</t>
  </si>
  <si>
    <t>SO₂</t>
  </si>
  <si>
    <t>Nox</t>
  </si>
  <si>
    <r>
      <t>H</t>
    </r>
    <r>
      <rPr>
        <sz val="8"/>
        <rFont val="Arial"/>
      </rPr>
      <t>₂</t>
    </r>
    <r>
      <rPr>
        <sz val="10"/>
        <color rgb="FF000000"/>
        <rFont val="Arial"/>
      </rPr>
      <t>S</t>
    </r>
  </si>
  <si>
    <t>IMP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</si>
  <si>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</si>
  <si>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</si>
  <si>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</si>
  <si>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</si>
  <si>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</si>
  <si>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</si>
  <si>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</si>
  <si>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</si>
  <si>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</si>
  <si>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</si>
  <si>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</si>
  <si>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</si>
  <si>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</si>
  <si>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</si>
  <si>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</si>
  <si>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</si>
  <si>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</si>
  <si>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</si>
  <si>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</si>
  <si>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</si>
  <si>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</si>
  <si>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</si>
  <si>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</si>
  <si>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</si>
  <si>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</si>
  <si>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I27</t>
  </si>
  <si>
    <t>I28</t>
  </si>
  <si>
    <t>Residuo dell''evaporazione</t>
  </si>
  <si>
    <t>SIT</t>
  </si>
  <si>
    <t>GRU</t>
  </si>
  <si>
    <t>SAN</t>
  </si>
  <si>
    <t>ROD</t>
  </si>
  <si>
    <t>RMO</t>
  </si>
  <si>
    <t>CHI</t>
  </si>
  <si>
    <t>TRE</t>
  </si>
  <si>
    <t>TRN</t>
  </si>
  <si>
    <t>PDV</t>
  </si>
  <si>
    <t>MOD</t>
  </si>
  <si>
    <t>RAV</t>
  </si>
  <si>
    <t>POR</t>
  </si>
  <si>
    <t>LUC</t>
  </si>
  <si>
    <t>LAN</t>
  </si>
  <si>
    <t>CAS</t>
  </si>
  <si>
    <t>OST</t>
  </si>
  <si>
    <t>PRI</t>
  </si>
  <si>
    <t>ASS</t>
  </si>
  <si>
    <t>FAM</t>
  </si>
  <si>
    <t>CO₂ PURO senza TP</t>
  </si>
  <si>
    <t>CO₂ PURO con TP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</si>
  <si>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</si>
  <si>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</si>
  <si>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</si>
  <si>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</si>
  <si>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</si>
  <si>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</si>
  <si>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</si>
  <si>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</si>
  <si>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</si>
  <si>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</si>
  <si>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</si>
  <si>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</si>
  <si>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</si>
  <si>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</si>
  <si>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</si>
  <si>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</si>
  <si>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</si>
  <si>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</si>
  <si>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</si>
  <si>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</si>
  <si>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</si>
  <si>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</si>
  <si>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</si>
  <si>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</si>
  <si>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</si>
  <si>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</si>
  <si>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</si>
  <si>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</si>
  <si>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</si>
  <si>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</si>
  <si>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</si>
  <si>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ADR</t>
  </si>
  <si>
    <t>BOM</t>
  </si>
  <si>
    <t>PAC</t>
  </si>
  <si>
    <t>REG</t>
  </si>
  <si>
    <t>false</t>
  </si>
  <si>
    <t>true</t>
  </si>
  <si>
    <t>SMA</t>
  </si>
  <si>
    <t>ALT</t>
  </si>
  <si>
    <t>XXX</t>
  </si>
  <si>
    <t>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</si>
</sst>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b/>
      <sz val="14"/>
      <name val="Arial"/>
    </font>
    <font>
      <b/>
      <sz val="10"/>
      <color rgb="FF666699"/>
      <name val="Arial"/>
    </font>
    <font>
      <b/>
      <sz val="10"/>
      <color rgb="FFFFFFFF"/>
      <name val="Arial"/>
    </font>
    <font>
      <b/>
      <sz val="14"/>
      <name val="Arial"/>
    </font>
    <font>
      <i/>
      <sz val="10"/>
      <name val="Arial"/>
    </font>
    <font>
      <sz val="8"/>
      <name val="Arial"/>
    </font>
    <font>
      <u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339966"/>
        <bgColor rgb="FF339966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66CC"/>
      </left>
      <right style="double">
        <color rgb="FF0066CC"/>
      </right>
      <top style="double">
        <color rgb="FF0066CC"/>
      </top>
      <bottom style="double">
        <color rgb="FF0066CC"/>
      </bottom>
      <diagonal/>
    </border>
    <border>
      <left style="thin">
        <color rgb="FF000000"/>
      </left>
      <right style="double">
        <color rgb="FF0066CC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1" xfId="0" applyFont="1" applyBorder="1" applyAlignment="1"/>
    <xf numFmtId="0" fontId="2" fillId="0" borderId="2" xfId="0" applyFont="1" applyBorder="1"/>
    <xf numFmtId="0" fontId="2" fillId="0" borderId="3" xfId="0" applyFont="1" applyBorder="1" applyAlignment="1"/>
    <xf numFmtId="0" fontId="2" fillId="0" borderId="4" xfId="0" applyFont="1" applyBorder="1"/>
    <xf numFmtId="0" fontId="3" fillId="0" borderId="3" xfId="0" applyFont="1" applyBorder="1" applyAlignment="1"/>
    <xf numFmtId="0" fontId="2" fillId="0" borderId="5" xfId="0" applyFont="1" applyBorder="1" applyAlignment="1"/>
    <xf numFmtId="0" fontId="2" fillId="0" borderId="6" xfId="0" applyFont="1" applyBorder="1"/>
    <xf numFmtId="0" fontId="4" fillId="2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5" fillId="3" borderId="7" xfId="0" applyFont="1" applyFill="1" applyBorder="1" applyAlignment="1">
      <alignment horizontal="center"/>
    </xf>
    <xf numFmtId="0" fontId="6" fillId="4" borderId="8" xfId="0" applyFont="1" applyFill="1" applyBorder="1" applyAlignment="1"/>
    <xf numFmtId="0" fontId="2" fillId="0" borderId="9" xfId="0" applyFont="1" applyBorder="1" applyAlignment="1"/>
    <xf numFmtId="0" fontId="1" fillId="0" borderId="0" xfId="0" applyFont="1" applyAlignment="1">
      <alignment vertical="center"/>
    </xf>
    <xf numFmtId="0" fontId="7" fillId="5" borderId="8" xfId="0" applyFont="1" applyFill="1" applyBorder="1" applyAlignment="1"/>
    <xf numFmtId="0" fontId="8" fillId="0" borderId="0" xfId="0" applyFont="1" applyAlignment="1"/>
    <xf numFmtId="0" fontId="2" fillId="0" borderId="0" xfId="0" applyFont="1" applyAlignment="1">
      <alignment horizontal="center"/>
    </xf>
    <xf numFmtId="0" fontId="7" fillId="6" borderId="8" xfId="0" applyFont="1" applyFill="1" applyBorder="1" applyAlignment="1"/>
    <xf numFmtId="0" fontId="1" fillId="0" borderId="0" xfId="0" applyFont="1" applyAlignme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0" applyFont="1" applyAlignment="1"/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2" fillId="8" borderId="0" xfId="0" applyFont="1" applyFill="1" applyAlignment="1"/>
    <xf numFmtId="0" fontId="1" fillId="0" borderId="0" xfId="0" applyFont="1" applyAlignment="1">
      <alignment horizontal="left"/>
    </xf>
    <xf numFmtId="0" fontId="1" fillId="0" borderId="9" xfId="0" applyFont="1" applyBorder="1" applyAlignment="1"/>
    <xf numFmtId="0" fontId="2" fillId="0" borderId="9" xfId="0" applyFont="1" applyBorder="1" applyAlignment="1">
      <alignment horizontal="right"/>
    </xf>
    <xf numFmtId="0" fontId="2" fillId="7" borderId="9" xfId="0" applyFont="1" applyFill="1" applyBorder="1" applyAlignment="1">
      <alignment horizontal="center"/>
    </xf>
    <xf numFmtId="0" fontId="2" fillId="0" borderId="12" xfId="0" applyFont="1" applyBorder="1" applyAlignment="1">
      <alignment vertical="center"/>
    </xf>
    <xf numFmtId="0" fontId="2" fillId="0" borderId="9" xfId="0" applyFont="1" applyBorder="1" applyAlignment="1">
      <alignment horizontal="center"/>
    </xf>
    <xf numFmtId="0" fontId="4" fillId="2" borderId="9" xfId="0" applyFont="1" applyFill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8" borderId="9" xfId="0" applyFont="1" applyFill="1" applyBorder="1" applyAlignment="1"/>
    <xf numFmtId="0" fontId="0" fillId="0" borderId="0" xfId="0" applyFont="1" applyAlignment="1"/>
    <xf numFmtId="0" fontId="2" fillId="0" borderId="0" xfId="0" applyFont="1" applyBorder="1"/>
    <xf numFmtId="0" fontId="11" fillId="0" borderId="3" xfId="0" applyFont="1" applyBorder="1" applyAlignment="1"/>
    <xf numFmtId="0" fontId="0" fillId="0" borderId="0" xfId="0" applyFont="1" applyAlignment="1"/>
    <xf numFmtId="0" fontId="12" fillId="0" borderId="0" xfId="0" applyFont="1" applyAlignment="1"/>
    <xf numFmtId="0" fontId="0" fillId="0" borderId="0" xfId="0" applyFont="1" applyFill="1" applyBorder="1" applyAlignment="1"/>
    <xf numFmtId="0" fontId="13" fillId="0" borderId="3" xfId="0" applyFont="1" applyBorder="1" applyAlignment="1"/>
    <xf numFmtId="0" fontId="13" fillId="0" borderId="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2" fillId="0" borderId="12" xfId="0" applyFont="1" applyBorder="1" applyAlignment="1">
      <alignment vertical="center"/>
    </xf>
    <xf numFmtId="0" fontId="0" fillId="0" borderId="0" xfId="0" applyFont="1" applyAlignment="1"/>
    <xf numFmtId="0" fontId="0" fillId="0" borderId="0" xfId="0" applyFont="1" applyAlignment="1"/>
    <xf numFmtId="0" fontId="14" fillId="0" borderId="0" xfId="0" applyFont="1" applyAlignment="1"/>
    <xf numFmtId="0" fontId="13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Font="1" applyAlignment="1"/>
    <xf numFmtId="0" fontId="2" fillId="0" borderId="12" xfId="0" applyFont="1" applyBorder="1" applyAlignment="1">
      <alignment vertical="center"/>
    </xf>
    <xf numFmtId="0" fontId="2" fillId="0" borderId="13" xfId="0" applyFont="1" applyBorder="1"/>
    <xf numFmtId="0" fontId="1" fillId="0" borderId="10" xfId="0" applyFont="1" applyBorder="1" applyAlignment="1">
      <alignment horizontal="center"/>
    </xf>
    <xf numFmtId="0" fontId="2" fillId="0" borderId="11" xfId="0" applyFont="1" applyBorder="1"/>
    <xf numFmtId="0" fontId="9" fillId="0" borderId="0" xfId="0" applyFont="1" applyAlignment="1">
      <alignment horizontal="center"/>
    </xf>
    <xf numFmtId="0" fontId="0" fillId="0" borderId="0" xfId="0" applyFont="1" applyAlignment="1"/>
    <xf numFmtId="0" fontId="2" fillId="0" borderId="12" xfId="0" applyFont="1" applyBorder="1" applyAlignment="1"/>
    <xf numFmtId="0" fontId="13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0" fillId="0" borderId="9" xfId="0" applyFont="1" applyBorder="1" applyAlignment="1"/>
    <xf numFmtId="0" fontId="2" fillId="7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18</xdr:row>
      <xdr:rowOff>200025</xdr:rowOff>
    </xdr:from>
    <xdr:to>
      <xdr:col>12</xdr:col>
      <xdr:colOff>466725</xdr:colOff>
      <xdr:row>23</xdr:row>
      <xdr:rowOff>76200</xdr:rowOff>
    </xdr:to>
    <xdr:pic>
      <xdr:nvPicPr>
        <xdr:cNvPr id="2" name="image1.png" title="Immagin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9850" cy="8763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276225</xdr:colOff>
      <xdr:row>24</xdr:row>
      <xdr:rowOff>171450</xdr:rowOff>
    </xdr:from>
    <xdr:to>
      <xdr:col>12</xdr:col>
      <xdr:colOff>619125</xdr:colOff>
      <xdr:row>31</xdr:row>
      <xdr:rowOff>85725</xdr:rowOff>
    </xdr:to>
    <xdr:pic>
      <xdr:nvPicPr>
        <xdr:cNvPr id="3" name="image3.png" title="Immagin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2733675" cy="131445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609600</xdr:colOff>
      <xdr:row>40</xdr:row>
      <xdr:rowOff>9525</xdr:rowOff>
    </xdr:from>
    <xdr:to>
      <xdr:col>7</xdr:col>
      <xdr:colOff>1038225</xdr:colOff>
      <xdr:row>49</xdr:row>
      <xdr:rowOff>152400</xdr:rowOff>
    </xdr:to>
    <xdr:pic>
      <xdr:nvPicPr>
        <xdr:cNvPr id="4" name="image5.png" title="Immagin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428625" cy="19431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628650</xdr:colOff>
      <xdr:row>52</xdr:row>
      <xdr:rowOff>95250</xdr:rowOff>
    </xdr:from>
    <xdr:to>
      <xdr:col>7</xdr:col>
      <xdr:colOff>1038225</xdr:colOff>
      <xdr:row>61</xdr:row>
      <xdr:rowOff>152400</xdr:rowOff>
    </xdr:to>
    <xdr:pic>
      <xdr:nvPicPr>
        <xdr:cNvPr id="5" name="image7.png" title="Immagin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409575" cy="1857375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638175</xdr:colOff>
      <xdr:row>64</xdr:row>
      <xdr:rowOff>38100</xdr:rowOff>
    </xdr:from>
    <xdr:to>
      <xdr:col>7</xdr:col>
      <xdr:colOff>1047750</xdr:colOff>
      <xdr:row>74</xdr:row>
      <xdr:rowOff>114300</xdr:rowOff>
    </xdr:to>
    <xdr:pic>
      <xdr:nvPicPr>
        <xdr:cNvPr id="6" name="image9.png" title="Immagin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409575" cy="207645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238125</xdr:colOff>
      <xdr:row>77</xdr:row>
      <xdr:rowOff>57150</xdr:rowOff>
    </xdr:from>
    <xdr:to>
      <xdr:col>7</xdr:col>
      <xdr:colOff>1476375</xdr:colOff>
      <xdr:row>88</xdr:row>
      <xdr:rowOff>28575</xdr:rowOff>
    </xdr:to>
    <xdr:pic>
      <xdr:nvPicPr>
        <xdr:cNvPr id="7" name="image11.png" title="Immagin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1238250" cy="217170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20</xdr:row>
      <xdr:rowOff>9525</xdr:rowOff>
    </xdr:from>
    <xdr:to>
      <xdr:col>10</xdr:col>
      <xdr:colOff>409575</xdr:colOff>
      <xdr:row>24</xdr:row>
      <xdr:rowOff>85725</xdr:rowOff>
    </xdr:to>
    <xdr:pic>
      <xdr:nvPicPr>
        <xdr:cNvPr id="2" name="image2.png" title="Immagin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8763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200025</xdr:colOff>
      <xdr:row>26</xdr:row>
      <xdr:rowOff>9525</xdr:rowOff>
    </xdr:from>
    <xdr:to>
      <xdr:col>10</xdr:col>
      <xdr:colOff>533400</xdr:colOff>
      <xdr:row>32</xdr:row>
      <xdr:rowOff>104775</xdr:rowOff>
    </xdr:to>
    <xdr:pic>
      <xdr:nvPicPr>
        <xdr:cNvPr id="3" name="image4.png" title="Immagin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2724150" cy="1295400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619125</xdr:colOff>
      <xdr:row>40</xdr:row>
      <xdr:rowOff>19050</xdr:rowOff>
    </xdr:from>
    <xdr:to>
      <xdr:col>5</xdr:col>
      <xdr:colOff>1038225</xdr:colOff>
      <xdr:row>50</xdr:row>
      <xdr:rowOff>9525</xdr:rowOff>
    </xdr:to>
    <xdr:pic>
      <xdr:nvPicPr>
        <xdr:cNvPr id="4" name="image6.png" title="Immagin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419100" cy="199072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600075</xdr:colOff>
      <xdr:row>52</xdr:row>
      <xdr:rowOff>38100</xdr:rowOff>
    </xdr:from>
    <xdr:to>
      <xdr:col>5</xdr:col>
      <xdr:colOff>1009650</xdr:colOff>
      <xdr:row>61</xdr:row>
      <xdr:rowOff>190500</xdr:rowOff>
    </xdr:to>
    <xdr:pic>
      <xdr:nvPicPr>
        <xdr:cNvPr id="5" name="image8.png" title="Immagin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409575" cy="195262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647700</xdr:colOff>
      <xdr:row>64</xdr:row>
      <xdr:rowOff>123825</xdr:rowOff>
    </xdr:from>
    <xdr:to>
      <xdr:col>5</xdr:col>
      <xdr:colOff>1000125</xdr:colOff>
      <xdr:row>74</xdr:row>
      <xdr:rowOff>9525</xdr:rowOff>
    </xdr:to>
    <xdr:pic>
      <xdr:nvPicPr>
        <xdr:cNvPr id="6" name="image10.png" title="Immagin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352425" cy="1885950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228600</xdr:colOff>
      <xdr:row>77</xdr:row>
      <xdr:rowOff>95250</xdr:rowOff>
    </xdr:from>
    <xdr:to>
      <xdr:col>5</xdr:col>
      <xdr:colOff>1419225</xdr:colOff>
      <xdr:row>88</xdr:row>
      <xdr:rowOff>47625</xdr:rowOff>
    </xdr:to>
    <xdr:pic>
      <xdr:nvPicPr>
        <xdr:cNvPr id="7" name="image12.png" title="Immagin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1190625" cy="215265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4"/>
  <sheetViews>
    <sheetView workbookViewId="0">
      <pane ySplit="1" topLeftCell="A44" activePane="bottomLeft" state="frozen"/>
      <selection pane="bottomLeft" activeCell="C78" sqref="C78:F88"/>
    </sheetView>
  </sheetViews>
  <sheetFormatPr defaultColWidth="14.42578125" defaultRowHeight="15.75" customHeight="1" x14ac:dyDescent="0.2"/>
  <cols>
    <col min="2" max="2" width="25.85546875" customWidth="1"/>
    <col min="3" max="3" width="30.28515625" customWidth="1"/>
    <col min="4" max="4" width="32.85546875" customWidth="1"/>
    <col min="5" max="6" width="20.5703125" customWidth="1"/>
    <col min="7" max="7" width="25.42578125" customWidth="1"/>
    <col min="8" max="8" width="24.85546875" customWidth="1"/>
    <col min="9" max="10" width="17" customWidth="1"/>
    <col min="11" max="11" width="21.42578125" customWidth="1"/>
  </cols>
  <sheetData>
    <row r="1" spans="2:8" ht="18" x14ac:dyDescent="0.25">
      <c r="B1" s="15" t="s">
        <v>154</v>
      </c>
      <c r="C1" s="16" t="s">
        <v>155</v>
      </c>
      <c r="D1" s="18" t="s">
        <v>133</v>
      </c>
      <c r="E1" s="19"/>
      <c r="F1" s="19"/>
    </row>
    <row r="2" spans="2:8" ht="15.75" customHeight="1" x14ac:dyDescent="0.2">
      <c r="E2" s="19"/>
      <c r="F2" s="19"/>
    </row>
    <row r="3" spans="2:8" ht="15.75" customHeight="1" x14ac:dyDescent="0.2">
      <c r="B3" s="15" t="s">
        <v>157</v>
      </c>
      <c r="C3" s="21" t="s">
        <v>158</v>
      </c>
      <c r="E3" s="19"/>
      <c r="F3" s="19"/>
    </row>
    <row r="4" spans="2:8" ht="15.75" customHeight="1" x14ac:dyDescent="0.2">
      <c r="C4" s="22" t="s">
        <v>159</v>
      </c>
      <c r="D4" s="22" t="s">
        <v>158</v>
      </c>
      <c r="E4" s="22"/>
      <c r="F4" s="22" t="s">
        <v>160</v>
      </c>
      <c r="G4" s="22" t="s">
        <v>161</v>
      </c>
    </row>
    <row r="5" spans="2:8" ht="15.75" customHeight="1" x14ac:dyDescent="0.2">
      <c r="C5" s="23" t="s">
        <v>24</v>
      </c>
      <c r="D5" s="23" t="s">
        <v>162</v>
      </c>
      <c r="E5" s="24"/>
      <c r="F5" s="24"/>
      <c r="G5" s="24"/>
    </row>
    <row r="6" spans="2:8" ht="15.75" customHeight="1" x14ac:dyDescent="0.2">
      <c r="E6" s="25"/>
      <c r="F6" s="25"/>
    </row>
    <row r="7" spans="2:8" ht="15.75" customHeight="1" x14ac:dyDescent="0.2">
      <c r="E7" s="25"/>
      <c r="F7" s="25"/>
    </row>
    <row r="8" spans="2:8" ht="15.75" customHeight="1" x14ac:dyDescent="0.2">
      <c r="B8" s="15" t="s">
        <v>157</v>
      </c>
      <c r="C8" s="21" t="s">
        <v>163</v>
      </c>
      <c r="E8" s="25"/>
      <c r="F8" s="25"/>
    </row>
    <row r="9" spans="2:8" ht="15.75" customHeight="1" x14ac:dyDescent="0.2">
      <c r="C9" s="22" t="s">
        <v>159</v>
      </c>
      <c r="D9" s="22" t="s">
        <v>164</v>
      </c>
      <c r="E9" s="22"/>
      <c r="F9" s="22" t="s">
        <v>165</v>
      </c>
      <c r="G9" s="22" t="s">
        <v>166</v>
      </c>
      <c r="H9" s="22" t="s">
        <v>167</v>
      </c>
    </row>
    <row r="10" spans="2:8" ht="15.75" customHeight="1" x14ac:dyDescent="0.2">
      <c r="C10" s="23" t="s">
        <v>168</v>
      </c>
      <c r="D10" s="23" t="s">
        <v>169</v>
      </c>
      <c r="E10" s="24"/>
      <c r="F10" s="24"/>
      <c r="G10" s="23" t="s">
        <v>37</v>
      </c>
      <c r="H10" s="23" t="s">
        <v>170</v>
      </c>
    </row>
    <row r="11" spans="2:8" ht="15.75" customHeight="1" x14ac:dyDescent="0.2">
      <c r="C11" s="23" t="s">
        <v>171</v>
      </c>
      <c r="D11" s="23" t="s">
        <v>169</v>
      </c>
      <c r="E11" s="24"/>
      <c r="F11" s="24"/>
      <c r="G11" s="23" t="s">
        <v>172</v>
      </c>
      <c r="H11" s="23" t="s">
        <v>173</v>
      </c>
    </row>
    <row r="12" spans="2:8" ht="15.75" customHeight="1" x14ac:dyDescent="0.2">
      <c r="C12" s="23" t="s">
        <v>174</v>
      </c>
      <c r="D12" s="24"/>
      <c r="E12" s="23"/>
      <c r="F12" s="23" t="s">
        <v>175</v>
      </c>
      <c r="G12" s="24"/>
      <c r="H12" s="24"/>
    </row>
    <row r="13" spans="2:8" ht="15.75" customHeight="1" x14ac:dyDescent="0.2">
      <c r="E13" s="19"/>
      <c r="F13" s="19"/>
    </row>
    <row r="14" spans="2:8" ht="15.75" customHeight="1" x14ac:dyDescent="0.2">
      <c r="B14" s="15" t="s">
        <v>157</v>
      </c>
      <c r="C14" s="21" t="s">
        <v>176</v>
      </c>
      <c r="E14" s="19"/>
      <c r="F14" s="19"/>
    </row>
    <row r="15" spans="2:8" ht="15.75" customHeight="1" x14ac:dyDescent="0.2">
      <c r="C15" s="26" t="s">
        <v>177</v>
      </c>
      <c r="D15" s="10" t="s">
        <v>178</v>
      </c>
      <c r="E15" s="19"/>
      <c r="F15" s="19"/>
    </row>
    <row r="16" spans="2:8" ht="15.75" customHeight="1" x14ac:dyDescent="0.2">
      <c r="C16" s="26" t="s">
        <v>179</v>
      </c>
      <c r="D16" s="10" t="s">
        <v>180</v>
      </c>
      <c r="E16" s="19"/>
      <c r="F16" s="19"/>
    </row>
    <row r="17" spans="2:12" ht="15.75" customHeight="1" x14ac:dyDescent="0.2">
      <c r="C17" s="26" t="s">
        <v>181</v>
      </c>
      <c r="D17" s="10" t="s">
        <v>182</v>
      </c>
      <c r="E17" s="19"/>
      <c r="F17" s="19"/>
    </row>
    <row r="18" spans="2:12" ht="15.75" customHeight="1" x14ac:dyDescent="0.2">
      <c r="E18" s="19"/>
      <c r="F18" s="19"/>
    </row>
    <row r="19" spans="2:12" ht="15.75" customHeight="1" x14ac:dyDescent="0.2">
      <c r="B19" s="15" t="s">
        <v>157</v>
      </c>
      <c r="C19" s="21" t="s">
        <v>183</v>
      </c>
      <c r="E19" s="19"/>
      <c r="F19" s="19"/>
      <c r="K19" s="23" t="s">
        <v>184</v>
      </c>
    </row>
    <row r="20" spans="2:12" ht="15.75" customHeight="1" x14ac:dyDescent="0.2">
      <c r="C20" s="22" t="s">
        <v>185</v>
      </c>
      <c r="D20" s="22" t="s">
        <v>186</v>
      </c>
      <c r="E20" s="27" t="s">
        <v>61</v>
      </c>
      <c r="F20" s="63" t="s">
        <v>187</v>
      </c>
      <c r="G20" s="64"/>
      <c r="H20" s="22" t="s">
        <v>188</v>
      </c>
      <c r="I20" s="22" t="s">
        <v>189</v>
      </c>
      <c r="J20" s="22"/>
      <c r="L20" s="10"/>
    </row>
    <row r="21" spans="2:12" ht="15.75" customHeight="1" x14ac:dyDescent="0.2">
      <c r="C21" s="44" t="s">
        <v>133</v>
      </c>
      <c r="D21" s="10" t="s">
        <v>191</v>
      </c>
      <c r="E21" s="28" t="s">
        <v>65</v>
      </c>
      <c r="F21" s="28" t="s">
        <v>192</v>
      </c>
      <c r="G21" s="10"/>
      <c r="H21" s="10" t="s">
        <v>184</v>
      </c>
      <c r="I21" s="10">
        <v>58621</v>
      </c>
      <c r="J21" s="10" t="str">
        <f t="shared" ref="J21:J29" si="0">CONCATENATE("&lt;tr&gt;&lt;td&gt;&lt;i class='fa fa-pencil' aria-hidden='true'&gt;&lt;/i&gt;&lt;/td&gt;&lt;td&gt;&lt;i class='fa fa-trash' aria-hidden='true'&gt;&lt;/i&gt;&lt;/td&gt;&lt;td&gt;",C21,"&lt;/td&gt;&lt;td&gt;",D21,"&lt;/td&gt;&lt;td&gt;",E21,"&lt;/td&gt;&lt;td&gt;",F21,"&lt;/td&gt;&lt;td&gt;",H21,"&lt;/td&gt;&lt;td&gt;",I21,"&lt;/td&gt;&lt;/tr&gt;")</f>
        <v>&lt;tr&gt;&lt;td&gt;&lt;i class='fa fa-pencil' aria-hidden='true'&gt;&lt;/i&gt;&lt;/td&gt;&lt;td&gt;&lt;i class='fa fa-trash' aria-hidden='true'&gt;&lt;/i&gt;&lt;/td&gt;&lt;td&gt;ARCAL 1&lt;/td&gt;&lt;td&gt;I2010L40A2A001&lt;/td&gt;&lt;td&gt;ALTOP&lt;/td&gt;&lt;td&gt;ARCAL 1 BB-L ALTOP 40/200&lt;/td&gt;&lt;td&gt;Etichetta Bombole&lt;/td&gt;&lt;td&gt;58621&lt;/td&gt;&lt;/tr&gt;</v>
      </c>
      <c r="K21" s="10"/>
    </row>
    <row r="22" spans="2:12" ht="15.75" customHeight="1" x14ac:dyDescent="0.2">
      <c r="C22" s="11" t="s">
        <v>133</v>
      </c>
      <c r="D22" s="10" t="s">
        <v>193</v>
      </c>
      <c r="E22" s="28" t="s">
        <v>65</v>
      </c>
      <c r="F22" s="28" t="s">
        <v>194</v>
      </c>
      <c r="G22" s="10"/>
      <c r="H22" s="10" t="s">
        <v>184</v>
      </c>
      <c r="I22" s="10">
        <v>58621</v>
      </c>
      <c r="J22" s="10" t="str">
        <f t="shared" si="0"/>
        <v>&lt;tr&gt;&lt;td&gt;&lt;i class='fa fa-pencil' aria-hidden='true'&gt;&lt;/i&gt;&lt;/td&gt;&lt;td&gt;&lt;i class='fa fa-trash' aria-hidden='true'&gt;&lt;/i&gt;&lt;/td&gt;&lt;td&gt;ARCAL 1&lt;/td&gt;&lt;td&gt;I2010L50A2A001&lt;/td&gt;&lt;td&gt;ALTOP&lt;/td&gt;&lt;td&gt;ARCAL 1 BB-L ALTOP 50/200&lt;/td&gt;&lt;td&gt;Etichetta Bombole&lt;/td&gt;&lt;td&gt;58621&lt;/td&gt;&lt;/tr&gt;</v>
      </c>
    </row>
    <row r="23" spans="2:12" ht="15.75" customHeight="1" x14ac:dyDescent="0.2">
      <c r="C23" s="11" t="s">
        <v>133</v>
      </c>
      <c r="D23" s="10" t="s">
        <v>195</v>
      </c>
      <c r="E23" s="28" t="s">
        <v>69</v>
      </c>
      <c r="F23" s="28" t="s">
        <v>196</v>
      </c>
      <c r="G23" s="10"/>
      <c r="H23" s="10" t="s">
        <v>184</v>
      </c>
      <c r="I23" s="10">
        <v>58621</v>
      </c>
      <c r="J23" s="10" t="str">
        <f t="shared" si="0"/>
        <v>&lt;tr&gt;&lt;td&gt;&lt;i class='fa fa-pencil' aria-hidden='true'&gt;&lt;/i&gt;&lt;/td&gt;&lt;td&gt;&lt;i class='fa fa-trash' aria-hidden='true'&gt;&lt;/i&gt;&lt;/td&gt;&lt;td&gt;ARCAL 1&lt;/td&gt;&lt;td&gt;I2010L40R2A001&lt;/td&gt;&lt;td&gt;REGULAR&lt;/td&gt;&lt;td&gt;ARCAL 1 BB-L REG 40/200&lt;/td&gt;&lt;td&gt;Etichetta Bombole&lt;/td&gt;&lt;td&gt;58621&lt;/td&gt;&lt;/tr&gt;</v>
      </c>
    </row>
    <row r="24" spans="2:12" ht="15.75" customHeight="1" x14ac:dyDescent="0.2">
      <c r="C24" s="11" t="s">
        <v>133</v>
      </c>
      <c r="D24" s="10" t="s">
        <v>197</v>
      </c>
      <c r="E24" s="28" t="s">
        <v>69</v>
      </c>
      <c r="F24" s="28" t="s">
        <v>198</v>
      </c>
      <c r="G24" s="10"/>
      <c r="H24" s="10" t="s">
        <v>184</v>
      </c>
      <c r="I24" s="10">
        <v>58621</v>
      </c>
      <c r="J24" s="10" t="str">
        <f t="shared" si="0"/>
        <v>&lt;tr&gt;&lt;td&gt;&lt;i class='fa fa-pencil' aria-hidden='true'&gt;&lt;/i&gt;&lt;/td&gt;&lt;td&gt;&lt;i class='fa fa-trash' aria-hidden='true'&gt;&lt;/i&gt;&lt;/td&gt;&lt;td&gt;ARCAL 1&lt;/td&gt;&lt;td&gt;I2010L50R2A001&lt;/td&gt;&lt;td&gt;REGULAR&lt;/td&gt;&lt;td&gt;ARCAL 1 BB-L REG 50/200&lt;/td&gt;&lt;td&gt;Etichetta Bombole&lt;/td&gt;&lt;td&gt;58621&lt;/td&gt;&lt;/tr&gt;</v>
      </c>
    </row>
    <row r="25" spans="2:12" ht="15.75" customHeight="1" x14ac:dyDescent="0.2">
      <c r="C25" s="11" t="s">
        <v>133</v>
      </c>
      <c r="D25" s="10" t="s">
        <v>199</v>
      </c>
      <c r="E25" s="28" t="s">
        <v>72</v>
      </c>
      <c r="F25" s="28" t="s">
        <v>200</v>
      </c>
      <c r="G25" s="10"/>
      <c r="H25" s="10" t="s">
        <v>184</v>
      </c>
      <c r="I25" s="10">
        <v>58621</v>
      </c>
      <c r="J25" s="10" t="str">
        <f t="shared" si="0"/>
        <v>&lt;tr&gt;&lt;td&gt;&lt;i class='fa fa-pencil' aria-hidden='true'&gt;&lt;/i&gt;&lt;/td&gt;&lt;td&gt;&lt;i class='fa fa-trash' aria-hidden='true'&gt;&lt;/i&gt;&lt;/td&gt;&lt;td&gt;ARCAL 1&lt;/td&gt;&lt;td&gt;I2010L40S2A001&lt;/td&gt;&lt;td&gt;SMARTOP&lt;/td&gt;&lt;td&gt;ARCAL 1 BB-L SMARTOP 40/200&lt;/td&gt;&lt;td&gt;Etichetta Bombole&lt;/td&gt;&lt;td&gt;58621&lt;/td&gt;&lt;/tr&gt;</v>
      </c>
      <c r="K25" s="23" t="s">
        <v>201</v>
      </c>
    </row>
    <row r="26" spans="2:12" ht="15.75" customHeight="1" x14ac:dyDescent="0.2">
      <c r="C26" s="11" t="s">
        <v>133</v>
      </c>
      <c r="D26" s="10" t="s">
        <v>202</v>
      </c>
      <c r="E26" s="28" t="s">
        <v>72</v>
      </c>
      <c r="F26" s="28" t="s">
        <v>203</v>
      </c>
      <c r="G26" s="10"/>
      <c r="H26" s="10" t="s">
        <v>184</v>
      </c>
      <c r="I26" s="10">
        <v>58621</v>
      </c>
      <c r="J26" s="10" t="str">
        <f t="shared" si="0"/>
        <v>&lt;tr&gt;&lt;td&gt;&lt;i class='fa fa-pencil' aria-hidden='true'&gt;&lt;/i&gt;&lt;/td&gt;&lt;td&gt;&lt;i class='fa fa-trash' aria-hidden='true'&gt;&lt;/i&gt;&lt;/td&gt;&lt;td&gt;ARCAL 1&lt;/td&gt;&lt;td&gt;I2010L50S2A001&lt;/td&gt;&lt;td&gt;SMARTOP&lt;/td&gt;&lt;td&gt;ARCAL 1 BB-L SMARTOP 50/200&lt;/td&gt;&lt;td&gt;Etichetta Bombole&lt;/td&gt;&lt;td&gt;58621&lt;/td&gt;&lt;/tr&gt;</v>
      </c>
    </row>
    <row r="27" spans="2:12" ht="12.75" x14ac:dyDescent="0.2">
      <c r="C27" s="11" t="s">
        <v>133</v>
      </c>
      <c r="D27" s="10" t="s">
        <v>204</v>
      </c>
      <c r="E27" s="28" t="s">
        <v>83</v>
      </c>
      <c r="F27" s="28" t="s">
        <v>205</v>
      </c>
      <c r="H27" s="10" t="s">
        <v>201</v>
      </c>
      <c r="I27" s="10">
        <v>48862</v>
      </c>
      <c r="J27" s="10" t="str">
        <f t="shared" si="0"/>
        <v>&lt;tr&gt;&lt;td&gt;&lt;i class='fa fa-pencil' aria-hidden='true'&gt;&lt;/i&gt;&lt;/td&gt;&lt;td&gt;&lt;i class='fa fa-trash' aria-hidden='true'&gt;&lt;/i&gt;&lt;/td&gt;&lt;td&gt;ARCAL 1&lt;/td&gt;&lt;td&gt;I2010V16Z2A001&lt;/td&gt;&lt;td&gt;PACCO&lt;/td&gt;&lt;td&gt;ARCAL 1 PP-L V16*40/200&lt;/td&gt;&lt;td&gt;Etichetta Pacchi&lt;/td&gt;&lt;td&gt;48862&lt;/td&gt;&lt;/tr&gt;</v>
      </c>
    </row>
    <row r="28" spans="2:12" ht="12.75" x14ac:dyDescent="0.2">
      <c r="C28" s="11" t="s">
        <v>133</v>
      </c>
      <c r="D28" s="10" t="s">
        <v>206</v>
      </c>
      <c r="E28" s="28" t="s">
        <v>83</v>
      </c>
      <c r="F28" s="28" t="s">
        <v>207</v>
      </c>
      <c r="H28" s="10" t="s">
        <v>201</v>
      </c>
      <c r="I28" s="10">
        <v>48862</v>
      </c>
      <c r="J28" s="10" t="str">
        <f t="shared" si="0"/>
        <v>&lt;tr&gt;&lt;td&gt;&lt;i class='fa fa-pencil' aria-hidden='true'&gt;&lt;/i&gt;&lt;/td&gt;&lt;td&gt;&lt;i class='fa fa-trash' aria-hidden='true'&gt;&lt;/i&gt;&lt;/td&gt;&lt;td&gt;ARCAL 1&lt;/td&gt;&lt;td&gt;I2010V16R2A001&lt;/td&gt;&lt;td&gt;PACCO&lt;/td&gt;&lt;td&gt;ARCAL 1 PP-L V16*50/200&lt;/td&gt;&lt;td&gt;Etichetta Pacchi&lt;/td&gt;&lt;td&gt;48862&lt;/td&gt;&lt;/tr&gt;</v>
      </c>
    </row>
    <row r="29" spans="2:12" ht="12.75" x14ac:dyDescent="0.2">
      <c r="C29" s="11" t="s">
        <v>133</v>
      </c>
      <c r="D29" s="10" t="s">
        <v>208</v>
      </c>
      <c r="E29" s="28" t="s">
        <v>83</v>
      </c>
      <c r="F29" s="28" t="s">
        <v>209</v>
      </c>
      <c r="H29" s="10" t="s">
        <v>201</v>
      </c>
      <c r="I29" s="10">
        <v>48862</v>
      </c>
      <c r="J29" s="10" t="str">
        <f t="shared" si="0"/>
        <v>&lt;tr&gt;&lt;td&gt;&lt;i class='fa fa-pencil' aria-hidden='true'&gt;&lt;/i&gt;&lt;/td&gt;&lt;td&gt;&lt;i class='fa fa-trash' aria-hidden='true'&gt;&lt;/i&gt;&lt;/td&gt;&lt;td&gt;ARCAL 1&lt;/td&gt;&lt;td&gt;I2010V12R2A001&lt;/td&gt;&lt;td&gt;PACCO&lt;/td&gt;&lt;td&gt;ARCAL 1 PP-M V12*50/200&lt;/td&gt;&lt;td&gt;Etichetta Pacchi&lt;/td&gt;&lt;td&gt;48862&lt;/td&gt;&lt;/tr&gt;</v>
      </c>
    </row>
    <row r="30" spans="2:12" ht="12.75" x14ac:dyDescent="0.2">
      <c r="E30" s="19"/>
      <c r="F30" s="19"/>
    </row>
    <row r="31" spans="2:12" ht="12.75" x14ac:dyDescent="0.2">
      <c r="B31" s="29" t="s">
        <v>210</v>
      </c>
      <c r="C31" s="61" t="s">
        <v>211</v>
      </c>
      <c r="D31" s="62"/>
    </row>
    <row r="32" spans="2:12" ht="12.75" x14ac:dyDescent="0.2">
      <c r="B32" s="15" t="s">
        <v>212</v>
      </c>
      <c r="C32" s="15" t="s">
        <v>213</v>
      </c>
      <c r="D32" s="15" t="s">
        <v>214</v>
      </c>
    </row>
    <row r="33" spans="1:8" ht="12.75" x14ac:dyDescent="0.2">
      <c r="B33" s="15" t="s">
        <v>212</v>
      </c>
      <c r="C33" s="15" t="s">
        <v>215</v>
      </c>
      <c r="D33" s="15" t="s">
        <v>216</v>
      </c>
    </row>
    <row r="34" spans="1:8" ht="12.75" x14ac:dyDescent="0.2">
      <c r="D34" s="19"/>
    </row>
    <row r="35" spans="1:8" ht="12.75" x14ac:dyDescent="0.2">
      <c r="D35" s="19"/>
    </row>
    <row r="36" spans="1:8" ht="12.75" x14ac:dyDescent="0.2">
      <c r="D36" s="19"/>
    </row>
    <row r="37" spans="1:8" ht="12.75" x14ac:dyDescent="0.2">
      <c r="D37" s="19"/>
    </row>
    <row r="38" spans="1:8" ht="12.75" x14ac:dyDescent="0.2">
      <c r="B38" s="21" t="s">
        <v>217</v>
      </c>
      <c r="D38" s="19"/>
    </row>
    <row r="39" spans="1:8" ht="12.75" x14ac:dyDescent="0.2">
      <c r="C39" s="30" t="s">
        <v>218</v>
      </c>
      <c r="D39" s="28" t="s">
        <v>69</v>
      </c>
      <c r="E39" s="10"/>
      <c r="F39" s="10"/>
    </row>
    <row r="40" spans="1:8" ht="12.75" x14ac:dyDescent="0.2">
      <c r="B40" s="29" t="s">
        <v>210</v>
      </c>
      <c r="C40" s="31" t="s">
        <v>219</v>
      </c>
      <c r="D40" s="32" t="s">
        <v>211</v>
      </c>
      <c r="E40" s="29" t="s">
        <v>220</v>
      </c>
      <c r="F40" s="29" t="s">
        <v>221</v>
      </c>
      <c r="G40" s="33" t="s">
        <v>154</v>
      </c>
      <c r="H40" s="10" t="s">
        <v>222</v>
      </c>
    </row>
    <row r="41" spans="1:8" ht="12.75" x14ac:dyDescent="0.2">
      <c r="A41" s="10" t="str">
        <f>CONCATENATE("&lt;tr&gt;&lt;td&gt;&lt;i class='fa fa-pencil' aria-hidden='true'&gt;&lt;/i&gt;&lt;/td&gt;&lt;td&gt;&lt;i class='fa fa-trash' aria-hidden='true'&gt;&lt;/i&gt;&lt;/td&gt;&lt;td&gt;",C41,"&lt;/td&gt;&lt;td&gt;",D41,"&lt;/td&gt;&lt;td&gt;",E41,"&lt;/td&gt;&lt;td&gt;",F41,"&lt;/td&gt;&lt;/tr&gt;")</f>
        <v>&lt;tr&gt;&lt;td&gt;&lt;i class='fa fa-pencil' aria-hidden='true'&gt;&lt;/i&gt;&lt;/td&gt;&lt;td&gt;&lt;i class='fa fa-trash' aria-hidden='true'&gt;&lt;/i&gt;&lt;/td&gt;&lt;td&gt;Taglia autorizzata&lt;/td&gt;&lt;td&gt;40 litri e 50 litri - acciaio&lt;/td&gt;&lt;td&gt;&lt;/td&gt;&lt;td&gt;&lt;/td&gt;&lt;/tr&gt;</v>
      </c>
      <c r="B41" s="15" t="s">
        <v>212</v>
      </c>
      <c r="C41" s="15" t="s">
        <v>223</v>
      </c>
      <c r="D41" s="10" t="s">
        <v>224</v>
      </c>
      <c r="E41" s="24"/>
      <c r="F41" s="34"/>
    </row>
    <row r="42" spans="1:8" ht="12.75" x14ac:dyDescent="0.2">
      <c r="A42" s="10" t="str">
        <f t="shared" ref="A42:A49" si="1">CONCATENATE("&lt;tr&gt;&lt;td&gt;&lt;i class='fa fa-pencil' aria-hidden='true'&gt;&lt;/i&gt;&lt;/td&gt;&lt;td&gt;&lt;i class='fa fa-trash' aria-hidden='true'&gt;&lt;/i&gt;&lt;/td&gt;&lt;td&gt;",C42,"&lt;/td&gt;&lt;td&gt;",D42,"&lt;/td&gt;&lt;td&gt;",E42,"&lt;/td&gt;&lt;td&gt;",F42,"&lt;/td&gt;&lt;/tr&gt;")</f>
        <v>&lt;tr&gt;&lt;td&gt;&lt;i class='fa fa-pencil' aria-hidden='true'&gt;&lt;/i&gt;&lt;/td&gt;&lt;td&gt;&lt;i class='fa fa-trash' aria-hidden='true'&gt;&lt;/i&gt;&lt;/td&gt;&lt;td&gt;Valvola&lt;/td&gt;&lt;td&gt;&lt;/td&gt;&lt;td&gt;Tipo ARGON RPV non cromato&lt;/td&gt;&lt;td&gt;45514&lt;/td&gt;&lt;/tr&gt;</v>
      </c>
      <c r="B42" s="15" t="s">
        <v>154</v>
      </c>
      <c r="C42" s="35" t="s">
        <v>225</v>
      </c>
      <c r="E42" s="15" t="s">
        <v>226</v>
      </c>
      <c r="F42" s="36">
        <v>45514</v>
      </c>
    </row>
    <row r="43" spans="1:8" ht="12.75" x14ac:dyDescent="0.2">
      <c r="A43" s="10" t="str">
        <f t="shared" si="1"/>
        <v>&lt;tr&gt;&lt;td&gt;&lt;i class='fa fa-pencil' aria-hidden='true'&gt;&lt;/i&gt;&lt;/td&gt;&lt;td&gt;&lt;i class='fa fa-trash' aria-hidden='true'&gt;&lt;/i&gt;&lt;/td&gt;&lt;td&gt;Cappellotto&lt;/td&gt;&lt;td&gt;&lt;/td&gt;&lt;td&gt;Tipo EXAL - Blu RAL 5015&lt;/td&gt;&lt;td&gt;21163&lt;/td&gt;&lt;/tr&gt;</v>
      </c>
      <c r="B43" s="15" t="s">
        <v>154</v>
      </c>
      <c r="C43" s="59" t="s">
        <v>227</v>
      </c>
      <c r="E43" s="15" t="s">
        <v>228</v>
      </c>
      <c r="F43" s="36">
        <v>21163</v>
      </c>
    </row>
    <row r="44" spans="1:8" ht="12.75" x14ac:dyDescent="0.2">
      <c r="A44" s="10" t="str">
        <f t="shared" si="1"/>
        <v>&lt;tr&gt;&lt;td&gt;&lt;i class='fa fa-pencil' aria-hidden='true'&gt;&lt;/i&gt;&lt;/td&gt;&lt;td&gt;&lt;i class='fa fa-trash' aria-hidden='true'&gt;&lt;/i&gt;&lt;/td&gt;&lt;td&gt;&lt;/td&gt;&lt;td&gt;&lt;/td&gt;&lt;td&gt;Tipo SCANDINA in metallo - Blu&lt;/td&gt;&lt;td&gt;159605&lt;/td&gt;&lt;/tr&gt;</v>
      </c>
      <c r="B44" s="15" t="s">
        <v>154</v>
      </c>
      <c r="C44" s="60"/>
      <c r="E44" s="15" t="s">
        <v>229</v>
      </c>
      <c r="F44" s="36">
        <v>159605</v>
      </c>
    </row>
    <row r="45" spans="1:8" ht="12.75" x14ac:dyDescent="0.2">
      <c r="A45" s="10" t="str">
        <f t="shared" si="1"/>
        <v>&lt;tr&gt;&lt;td&gt;&lt;i class='fa fa-pencil' aria-hidden='true'&gt;&lt;/i&gt;&lt;/td&gt;&lt;td&gt;&lt;i class='fa fa-trash' aria-hidden='true'&gt;&lt;/i&gt;&lt;/td&gt;&lt;td&gt;Termoretraibile&lt;/td&gt;&lt;td&gt;Non previsto&lt;/td&gt;&lt;td&gt;&lt;/td&gt;&lt;td&gt;&lt;/td&gt;&lt;/tr&gt;</v>
      </c>
      <c r="B45" s="15" t="s">
        <v>157</v>
      </c>
      <c r="C45" s="15" t="s">
        <v>230</v>
      </c>
      <c r="D45" s="15" t="s">
        <v>231</v>
      </c>
      <c r="E45" s="34"/>
      <c r="F45" s="34"/>
    </row>
    <row r="46" spans="1:8" ht="12.75" x14ac:dyDescent="0.2">
      <c r="A46" s="10" t="str">
        <f t="shared" si="1"/>
        <v>&lt;tr&gt;&lt;td&gt;&lt;i class='fa fa-pencil' aria-hidden='true'&gt;&lt;/i&gt;&lt;/td&gt;&lt;td&gt;&lt;i class='fa fa-trash' aria-hidden='true'&gt;&lt;/i&gt;&lt;/td&gt;&lt;td&gt;Sigillo riempimento&lt;/td&gt;&lt;td&gt;&lt;/td&gt;&lt;td&gt;Grigio, sulla valvola&lt;/td&gt;&lt;td&gt;58435&lt;/td&gt;&lt;/tr&gt;</v>
      </c>
      <c r="B46" s="15" t="s">
        <v>157</v>
      </c>
      <c r="C46" s="15" t="s">
        <v>232</v>
      </c>
      <c r="E46" s="15" t="s">
        <v>233</v>
      </c>
      <c r="F46" s="36">
        <v>58435</v>
      </c>
    </row>
    <row r="47" spans="1:8" ht="12.75" x14ac:dyDescent="0.2">
      <c r="A47" s="10" t="str">
        <f t="shared" si="1"/>
        <v>&lt;tr&gt;&lt;td&gt;&lt;i class='fa fa-pencil' aria-hidden='true'&gt;&lt;/i&gt;&lt;/td&gt;&lt;td&gt;&lt;i class='fa fa-trash' aria-hidden='true'&gt;&lt;/i&gt;&lt;/td&gt;&lt;td&gt;Cartellino&lt;/td&gt;&lt;td&gt;Non previsto&lt;/td&gt;&lt;td&gt;&lt;/td&gt;&lt;td&gt;&lt;/td&gt;&lt;/tr&gt;</v>
      </c>
      <c r="B47" s="15" t="s">
        <v>157</v>
      </c>
      <c r="C47" s="15" t="s">
        <v>234</v>
      </c>
      <c r="D47" s="15" t="s">
        <v>231</v>
      </c>
      <c r="E47" s="34"/>
      <c r="F47" s="34"/>
    </row>
    <row r="48" spans="1:8" ht="12.75" x14ac:dyDescent="0.2">
      <c r="A48" s="10" t="str">
        <f t="shared" si="1"/>
        <v>&lt;tr&gt;&lt;td&gt;&lt;i class='fa fa-pencil' aria-hidden='true'&gt;&lt;/i&gt;&lt;/td&gt;&lt;td&gt;&lt;i class='fa fa-trash' aria-hidden='true'&gt;&lt;/i&gt;&lt;/td&gt;&lt;td&gt;Barcode&lt;/td&gt;&lt;td&gt;Su collare bombola&lt;/td&gt;&lt;td&gt;&lt;/td&gt;&lt;td&gt;&lt;/td&gt;&lt;/tr&gt;</v>
      </c>
      <c r="B48" s="15" t="s">
        <v>157</v>
      </c>
      <c r="C48" s="15" t="s">
        <v>235</v>
      </c>
      <c r="D48" s="15" t="s">
        <v>236</v>
      </c>
      <c r="E48" s="34"/>
      <c r="F48" s="34"/>
    </row>
    <row r="49" spans="1:8" ht="12.75" x14ac:dyDescent="0.2">
      <c r="A49" s="10" t="str">
        <f t="shared" si="1"/>
        <v>&lt;tr&gt;&lt;td&gt;&lt;i class='fa fa-pencil' aria-hidden='true'&gt;&lt;/i&gt;&lt;/td&gt;&lt;td&gt;&lt;i class='fa fa-trash' aria-hidden='true'&gt;&lt;/i&gt;&lt;/td&gt;&lt;td&gt;Anello di scadenza&lt;/td&gt;&lt;td&gt;Attorno alla vavola&lt;/td&gt;&lt;td&gt;&lt;/td&gt;&lt;td&gt;????&lt;/td&gt;&lt;/tr&gt;</v>
      </c>
      <c r="B49" s="15" t="s">
        <v>157</v>
      </c>
      <c r="C49" s="15" t="s">
        <v>237</v>
      </c>
      <c r="D49" s="15" t="s">
        <v>238</v>
      </c>
      <c r="E49" s="36"/>
      <c r="F49" s="36" t="s">
        <v>239</v>
      </c>
    </row>
    <row r="50" spans="1:8" ht="12.75" x14ac:dyDescent="0.2">
      <c r="D50" s="19"/>
    </row>
    <row r="51" spans="1:8" ht="12.75" x14ac:dyDescent="0.2">
      <c r="D51" s="19"/>
    </row>
    <row r="52" spans="1:8" ht="12.75" x14ac:dyDescent="0.2">
      <c r="B52" s="29" t="s">
        <v>210</v>
      </c>
      <c r="C52" s="28" t="s">
        <v>72</v>
      </c>
      <c r="D52" s="29" t="s">
        <v>211</v>
      </c>
      <c r="E52" s="29"/>
      <c r="F52" s="29" t="s">
        <v>221</v>
      </c>
      <c r="G52" s="33" t="s">
        <v>154</v>
      </c>
      <c r="H52" s="10" t="s">
        <v>240</v>
      </c>
    </row>
    <row r="53" spans="1:8" ht="12.75" x14ac:dyDescent="0.2">
      <c r="A53" s="10" t="str">
        <f>CONCATENATE("&lt;tr&gt;&lt;td&gt;&lt;i class='fa fa-pencil' aria-hidden='true'&gt;&lt;/i&gt;&lt;/td&gt;&lt;td&gt;&lt;i class='fa fa-trash' aria-hidden='true'&gt;&lt;/i&gt;&lt;/td&gt;&lt;td&gt;",C53,"&lt;/td&gt;&lt;td&gt;",D53,"&lt;/td&gt;&lt;td&gt;",E53,"&lt;/td&gt;&lt;td&gt;",F53,"&lt;/td&gt;&lt;/tr&gt;")</f>
        <v>&lt;tr&gt;&lt;td&gt;&lt;i class='fa fa-pencil' aria-hidden='true'&gt;&lt;/i&gt;&lt;/td&gt;&lt;td&gt;&lt;i class='fa fa-trash' aria-hidden='true'&gt;&lt;/i&gt;&lt;/td&gt;&lt;td&gt;Taglia autorizzata&lt;/td&gt;&lt;td&gt;40 litri e 50 litri - Acciaio&lt;/td&gt;&lt;td&gt;&lt;/td&gt;&lt;td&gt;&lt;/td&gt;&lt;/tr&gt;</v>
      </c>
      <c r="B53" s="15" t="s">
        <v>212</v>
      </c>
      <c r="C53" s="15" t="s">
        <v>223</v>
      </c>
      <c r="D53" s="15" t="s">
        <v>241</v>
      </c>
      <c r="E53" s="34"/>
      <c r="F53" s="34"/>
    </row>
    <row r="54" spans="1:8" ht="12.75" x14ac:dyDescent="0.2">
      <c r="A54" s="10" t="str">
        <f t="shared" ref="A54:A62" si="2">CONCATENATE("&lt;tr&gt;&lt;td&gt;&lt;i class='fa fa-pencil' aria-hidden='true'&gt;&lt;/i&gt;&lt;/td&gt;&lt;td&gt;&lt;i class='fa fa-trash' aria-hidden='true'&gt;&lt;/i&gt;&lt;/td&gt;&lt;td&gt;",C54,"&lt;/td&gt;&lt;td&gt;",D54,"&lt;/td&gt;&lt;td&gt;",E54,"&lt;/td&gt;&lt;td&gt;",F54,"&lt;/td&gt;&lt;/tr&gt;")</f>
        <v>&lt;tr&gt;&lt;td&gt;&lt;i class='fa fa-pencil' aria-hidden='true'&gt;&lt;/i&gt;&lt;/td&gt;&lt;td&gt;&lt;i class='fa fa-trash' aria-hidden='true'&gt;&lt;/i&gt;&lt;/td&gt;&lt;td&gt;Valvola&lt;/td&gt;&lt;td&gt;Tipo Smartop Argon&lt;/td&gt;&lt;td&gt;&lt;/td&gt;&lt;td&gt;63942&lt;/td&gt;&lt;/tr&gt;</v>
      </c>
      <c r="B54" s="15" t="s">
        <v>154</v>
      </c>
      <c r="C54" s="35" t="s">
        <v>225</v>
      </c>
      <c r="D54" s="15" t="s">
        <v>242</v>
      </c>
      <c r="E54" s="36"/>
      <c r="F54" s="36">
        <v>63942</v>
      </c>
    </row>
    <row r="55" spans="1:8" ht="12.75" x14ac:dyDescent="0.2">
      <c r="A55" s="10" t="str">
        <f t="shared" si="2"/>
        <v>&lt;tr&gt;&lt;td&gt;&lt;i class='fa fa-pencil' aria-hidden='true'&gt;&lt;/i&gt;&lt;/td&gt;&lt;td&gt;&lt;i class='fa fa-trash' aria-hidden='true'&gt;&lt;/i&gt;&lt;/td&gt;&lt;td&gt;Cappellotto&lt;/td&gt;&lt;td&gt;Tipo Exal Blu RAL 5015&lt;/td&gt;&lt;td&gt;&lt;/td&gt;&lt;td&gt;21163&lt;/td&gt;&lt;/tr&gt;</v>
      </c>
      <c r="B55" s="15" t="s">
        <v>154</v>
      </c>
      <c r="C55" s="59" t="s">
        <v>227</v>
      </c>
      <c r="D55" s="15" t="s">
        <v>243</v>
      </c>
      <c r="E55" s="36"/>
      <c r="F55" s="36">
        <v>21163</v>
      </c>
    </row>
    <row r="56" spans="1:8" ht="12.75" x14ac:dyDescent="0.2">
      <c r="A56" s="10" t="str">
        <f t="shared" si="2"/>
        <v>&lt;tr&gt;&lt;td&gt;&lt;i class='fa fa-pencil' aria-hidden='true'&gt;&lt;/i&gt;&lt;/td&gt;&lt;td&gt;&lt;i class='fa fa-trash' aria-hidden='true'&gt;&lt;/i&gt;&lt;/td&gt;&lt;td&gt;&lt;/td&gt;&lt;td&gt;Tipo Scandina Blu RAL 5015&lt;/td&gt;&lt;td&gt;&lt;/td&gt;&lt;td&gt;159605&lt;/td&gt;&lt;/tr&gt;</v>
      </c>
      <c r="B56" s="15" t="s">
        <v>154</v>
      </c>
      <c r="C56" s="60"/>
      <c r="D56" s="15" t="s">
        <v>244</v>
      </c>
      <c r="E56" s="36"/>
      <c r="F56" s="36">
        <v>159605</v>
      </c>
    </row>
    <row r="57" spans="1:8" ht="12.75" x14ac:dyDescent="0.2">
      <c r="A57" s="10" t="str">
        <f t="shared" si="2"/>
        <v>&lt;tr&gt;&lt;td&gt;&lt;i class='fa fa-pencil' aria-hidden='true'&gt;&lt;/i&gt;&lt;/td&gt;&lt;td&gt;&lt;i class='fa fa-trash' aria-hidden='true'&gt;&lt;/i&gt;&lt;/td&gt;&lt;td&gt;Termoretraibile&lt;/td&gt;&lt;td&gt;Non previsto&lt;/td&gt;&lt;td&gt;&lt;/td&gt;&lt;td&gt;&lt;/td&gt;&lt;/tr&gt;</v>
      </c>
      <c r="B57" s="15" t="s">
        <v>157</v>
      </c>
      <c r="C57" s="15" t="s">
        <v>230</v>
      </c>
      <c r="D57" s="15" t="s">
        <v>231</v>
      </c>
      <c r="E57" s="34"/>
      <c r="F57" s="34"/>
    </row>
    <row r="58" spans="1:8" ht="12.75" x14ac:dyDescent="0.2">
      <c r="A58" s="10" t="str">
        <f t="shared" si="2"/>
        <v>&lt;tr&gt;&lt;td&gt;&lt;i class='fa fa-pencil' aria-hidden='true'&gt;&lt;/i&gt;&lt;/td&gt;&lt;td&gt;&lt;i class='fa fa-trash' aria-hidden='true'&gt;&lt;/i&gt;&lt;/td&gt;&lt;td&gt;Sigillo riempimento&lt;/td&gt;&lt;td&gt;Grigio, sulla valvola&lt;/td&gt;&lt;td&gt;&lt;/td&gt;&lt;td&gt;58435&lt;/td&gt;&lt;/tr&gt;</v>
      </c>
      <c r="B58" s="15" t="s">
        <v>157</v>
      </c>
      <c r="C58" s="15" t="s">
        <v>232</v>
      </c>
      <c r="D58" s="15" t="s">
        <v>233</v>
      </c>
      <c r="E58" s="36"/>
      <c r="F58" s="36">
        <v>58435</v>
      </c>
    </row>
    <row r="59" spans="1:8" ht="12.75" x14ac:dyDescent="0.2">
      <c r="A59" s="10" t="str">
        <f t="shared" si="2"/>
        <v>&lt;tr&gt;&lt;td&gt;&lt;i class='fa fa-pencil' aria-hidden='true'&gt;&lt;/i&gt;&lt;/td&gt;&lt;td&gt;&lt;i class='fa fa-trash' aria-hidden='true'&gt;&lt;/i&gt;&lt;/td&gt;&lt;td&gt;Cartellino&lt;/td&gt;&lt;td&gt;Non previsto&lt;/td&gt;&lt;td&gt;&lt;/td&gt;&lt;td&gt;&lt;/td&gt;&lt;/tr&gt;</v>
      </c>
      <c r="B59" s="15" t="s">
        <v>157</v>
      </c>
      <c r="C59" s="15" t="s">
        <v>234</v>
      </c>
      <c r="D59" s="15" t="s">
        <v>231</v>
      </c>
      <c r="E59" s="34"/>
      <c r="F59" s="34"/>
    </row>
    <row r="60" spans="1:8" ht="12.75" x14ac:dyDescent="0.2">
      <c r="A60" s="10" t="str">
        <f t="shared" si="2"/>
        <v>&lt;tr&gt;&lt;td&gt;&lt;i class='fa fa-pencil' aria-hidden='true'&gt;&lt;/i&gt;&lt;/td&gt;&lt;td&gt;&lt;i class='fa fa-trash' aria-hidden='true'&gt;&lt;/i&gt;&lt;/td&gt;&lt;td&gt;Barcode&lt;/td&gt;&lt;td&gt;Su collare bombola&lt;/td&gt;&lt;td&gt;&lt;/td&gt;&lt;td&gt;&lt;/td&gt;&lt;/tr&gt;</v>
      </c>
      <c r="B60" s="15" t="s">
        <v>157</v>
      </c>
      <c r="C60" s="15" t="s">
        <v>235</v>
      </c>
      <c r="D60" s="15" t="s">
        <v>236</v>
      </c>
      <c r="E60" s="34"/>
      <c r="F60" s="34"/>
    </row>
    <row r="61" spans="1:8" ht="12.75" x14ac:dyDescent="0.2">
      <c r="A61" s="10" t="str">
        <f t="shared" si="2"/>
        <v>&lt;tr&gt;&lt;td&gt;&lt;i class='fa fa-pencil' aria-hidden='true'&gt;&lt;/i&gt;&lt;/td&gt;&lt;td&gt;&lt;i class='fa fa-trash' aria-hidden='true'&gt;&lt;/i&gt;&lt;/td&gt;&lt;td&gt;Anello di scadenza&lt;/td&gt;&lt;td&gt;Attorno alla vavola&lt;/td&gt;&lt;td&gt;&lt;/td&gt;&lt;td&gt;????&lt;/td&gt;&lt;/tr&gt;</v>
      </c>
      <c r="B61" s="15" t="s">
        <v>212</v>
      </c>
      <c r="C61" s="15" t="s">
        <v>237</v>
      </c>
      <c r="D61" s="15" t="s">
        <v>238</v>
      </c>
      <c r="E61" s="36"/>
      <c r="F61" s="36" t="s">
        <v>239</v>
      </c>
    </row>
    <row r="62" spans="1:8" ht="12.75" x14ac:dyDescent="0.2">
      <c r="A62" s="10" t="str">
        <f t="shared" si="2"/>
        <v>&lt;tr&gt;&lt;td&gt;&lt;i class='fa fa-pencil' aria-hidden='true'&gt;&lt;/i&gt;&lt;/td&gt;&lt;td&gt;&lt;i class='fa fa-trash' aria-hidden='true'&gt;&lt;/i&gt;&lt;/td&gt;&lt;td&gt;Adesivo Sicurezza giallo&lt;/td&gt;&lt;td&gt;Sulla valvola Smartop&lt;/td&gt;&lt;td&gt;&lt;/td&gt;&lt;td&gt;108505&lt;/td&gt;&lt;/tr&gt;</v>
      </c>
      <c r="B62" s="15" t="s">
        <v>212</v>
      </c>
      <c r="C62" s="15" t="s">
        <v>245</v>
      </c>
      <c r="D62" s="15" t="s">
        <v>246</v>
      </c>
      <c r="E62" s="36"/>
      <c r="F62" s="36">
        <v>108505</v>
      </c>
    </row>
    <row r="63" spans="1:8" ht="12.75" x14ac:dyDescent="0.2">
      <c r="D63" s="19"/>
    </row>
    <row r="64" spans="1:8" ht="12.75" x14ac:dyDescent="0.2">
      <c r="B64" s="29" t="s">
        <v>210</v>
      </c>
      <c r="C64" s="28" t="s">
        <v>65</v>
      </c>
      <c r="D64" s="29" t="s">
        <v>211</v>
      </c>
      <c r="E64" s="29"/>
      <c r="F64" s="29" t="s">
        <v>221</v>
      </c>
      <c r="G64" s="33" t="s">
        <v>154</v>
      </c>
      <c r="H64" s="10" t="s">
        <v>247</v>
      </c>
    </row>
    <row r="65" spans="1:8" ht="12.75" x14ac:dyDescent="0.2">
      <c r="A65" s="10" t="str">
        <f>CONCATENATE("&lt;tr&gt;&lt;td&gt;&lt;i class='fa fa-pencil' aria-hidden='true'&gt;&lt;/i&gt;&lt;/td&gt;&lt;td&gt;&lt;i class='fa fa-trash' aria-hidden='true'&gt;&lt;/i&gt;&lt;/td&gt;&lt;td&gt;",C65,"&lt;/td&gt;&lt;td&gt;",D65,"&lt;/td&gt;&lt;td&gt;",E65,"&lt;/td&gt;&lt;td&gt;",F65,"&lt;/td&gt;&lt;/tr&gt;")</f>
        <v>&lt;tr&gt;&lt;td&gt;&lt;i class='fa fa-pencil' aria-hidden='true'&gt;&lt;/i&gt;&lt;/td&gt;&lt;td&gt;&lt;i class='fa fa-trash' aria-hidden='true'&gt;&lt;/i&gt;&lt;/td&gt;&lt;td&gt;Taglia autorizzata&lt;/td&gt;&lt;td&gt;50 lt - Acciaio&lt;/td&gt;&lt;td&gt;&lt;/td&gt;&lt;td&gt;&lt;/td&gt;&lt;/tr&gt;</v>
      </c>
      <c r="B65" s="15" t="s">
        <v>212</v>
      </c>
      <c r="C65" s="15" t="s">
        <v>223</v>
      </c>
      <c r="D65" s="15" t="s">
        <v>248</v>
      </c>
      <c r="E65" s="34"/>
      <c r="F65" s="34"/>
    </row>
    <row r="66" spans="1:8" ht="12.75" x14ac:dyDescent="0.2">
      <c r="A66" s="10" t="str">
        <f t="shared" ref="A66:A75" si="3">CONCATENATE("&lt;tr&gt;&lt;td&gt;&lt;i class='fa fa-pencil' aria-hidden='true'&gt;&lt;/i&gt;&lt;/td&gt;&lt;td&gt;&lt;i class='fa fa-trash' aria-hidden='true'&gt;&lt;/i&gt;&lt;/td&gt;&lt;td&gt;",C66,"&lt;/td&gt;&lt;td&gt;",D66,"&lt;/td&gt;&lt;td&gt;",E66,"&lt;/td&gt;&lt;td&gt;",F66,"&lt;/td&gt;&lt;/tr&gt;")</f>
        <v>&lt;tr&gt;&lt;td&gt;&lt;i class='fa fa-pencil' aria-hidden='true'&gt;&lt;/i&gt;&lt;/td&gt;&lt;td&gt;&lt;i class='fa fa-trash' aria-hidden='true'&gt;&lt;/i&gt;&lt;/td&gt;&lt;td&gt;Valvola&lt;/td&gt;&lt;td&gt;Tipo ALTOP ARGON&lt;/td&gt;&lt;td&gt;&lt;/td&gt;&lt;td&gt;45525&lt;/td&gt;&lt;/tr&gt;</v>
      </c>
      <c r="B66" s="15" t="s">
        <v>154</v>
      </c>
      <c r="C66" s="35" t="s">
        <v>225</v>
      </c>
      <c r="D66" s="15" t="s">
        <v>249</v>
      </c>
      <c r="E66" s="36"/>
      <c r="F66" s="36">
        <v>45525</v>
      </c>
    </row>
    <row r="67" spans="1:8" ht="12.75" x14ac:dyDescent="0.2">
      <c r="A67" s="10" t="str">
        <f t="shared" si="3"/>
        <v>&lt;tr&gt;&lt;td&gt;&lt;i class='fa fa-pencil' aria-hidden='true'&gt;&lt;/i&gt;&lt;/td&gt;&lt;td&gt;&lt;i class='fa fa-trash' aria-hidden='true'&gt;&lt;/i&gt;&lt;/td&gt;&lt;td&gt;Cappellotto&lt;/td&gt;&lt;td&gt;Tipo Altop - Blu RAL 5015&lt;/td&gt;&lt;td&gt;&lt;/td&gt;&lt;td&gt;58429&lt;/td&gt;&lt;/tr&gt;</v>
      </c>
      <c r="B67" s="15" t="s">
        <v>154</v>
      </c>
      <c r="C67" s="35" t="s">
        <v>227</v>
      </c>
      <c r="D67" s="15" t="s">
        <v>250</v>
      </c>
      <c r="E67" s="36"/>
      <c r="F67" s="36">
        <v>58429</v>
      </c>
    </row>
    <row r="68" spans="1:8" ht="12.75" x14ac:dyDescent="0.2">
      <c r="A68" s="10" t="str">
        <f t="shared" si="3"/>
        <v>&lt;tr&gt;&lt;td&gt;&lt;i class='fa fa-pencil' aria-hidden='true'&gt;&lt;/i&gt;&lt;/td&gt;&lt;td&gt;&lt;i class='fa fa-trash' aria-hidden='true'&gt;&lt;/i&gt;&lt;/td&gt;&lt;td&gt;Grani a punta&lt;/td&gt;&lt;td&gt;Fissaggio cappellotto 2X&lt;/td&gt;&lt;td&gt;&lt;/td&gt;&lt;td&gt;45328&lt;/td&gt;&lt;/tr&gt;</v>
      </c>
      <c r="B68" s="15" t="s">
        <v>212</v>
      </c>
      <c r="C68" s="37" t="s">
        <v>251</v>
      </c>
      <c r="D68" s="15" t="s">
        <v>252</v>
      </c>
      <c r="E68" s="36"/>
      <c r="F68" s="36">
        <v>45328</v>
      </c>
    </row>
    <row r="69" spans="1:8" ht="12.75" x14ac:dyDescent="0.2">
      <c r="A69" s="10" t="str">
        <f t="shared" si="3"/>
        <v>&lt;tr&gt;&lt;td&gt;&lt;i class='fa fa-pencil' aria-hidden='true'&gt;&lt;/i&gt;&lt;/td&gt;&lt;td&gt;&lt;i class='fa fa-trash' aria-hidden='true'&gt;&lt;/i&gt;&lt;/td&gt;&lt;td&gt;Viti in plastica&lt;/td&gt;&lt;td&gt;Fissaggio coperchio cappellotto&lt;/td&gt;&lt;td&gt;&lt;/td&gt;&lt;td&gt;45329&lt;/td&gt;&lt;/tr&gt;</v>
      </c>
      <c r="B69" s="15" t="s">
        <v>212</v>
      </c>
      <c r="C69" s="15" t="s">
        <v>253</v>
      </c>
      <c r="D69" s="15" t="s">
        <v>254</v>
      </c>
      <c r="E69" s="36"/>
      <c r="F69" s="36">
        <v>45329</v>
      </c>
    </row>
    <row r="70" spans="1:8" ht="12.75" x14ac:dyDescent="0.2">
      <c r="A70" s="10" t="str">
        <f t="shared" si="3"/>
        <v>&lt;tr&gt;&lt;td&gt;&lt;i class='fa fa-pencil' aria-hidden='true'&gt;&lt;/i&gt;&lt;/td&gt;&lt;td&gt;&lt;i class='fa fa-trash' aria-hidden='true'&gt;&lt;/i&gt;&lt;/td&gt;&lt;td&gt;Sigillo riempimento&lt;/td&gt;&lt;td&gt;Su leva riempimento&lt;/td&gt;&lt;td&gt;&lt;/td&gt;&lt;td&gt;22569&lt;/td&gt;&lt;/tr&gt;</v>
      </c>
      <c r="B70" s="15" t="s">
        <v>157</v>
      </c>
      <c r="C70" s="15" t="s">
        <v>232</v>
      </c>
      <c r="D70" s="15" t="s">
        <v>255</v>
      </c>
      <c r="E70" s="36"/>
      <c r="F70" s="36">
        <v>22569</v>
      </c>
    </row>
    <row r="71" spans="1:8" ht="12.75" x14ac:dyDescent="0.2">
      <c r="A71" s="10" t="str">
        <f t="shared" si="3"/>
        <v>&lt;tr&gt;&lt;td&gt;&lt;i class='fa fa-pencil' aria-hidden='true'&gt;&lt;/i&gt;&lt;/td&gt;&lt;td&gt;&lt;i class='fa fa-trash' aria-hidden='true'&gt;&lt;/i&gt;&lt;/td&gt;&lt;td&gt;Cartellino&lt;/td&gt;&lt;td&gt;Non previsto&lt;/td&gt;&lt;td&gt;&lt;/td&gt;&lt;td&gt;&lt;/td&gt;&lt;/tr&gt;</v>
      </c>
      <c r="B71" s="15" t="s">
        <v>157</v>
      </c>
      <c r="C71" s="15" t="s">
        <v>234</v>
      </c>
      <c r="D71" s="15" t="s">
        <v>231</v>
      </c>
      <c r="E71" s="34"/>
      <c r="F71" s="34"/>
    </row>
    <row r="72" spans="1:8" ht="12.75" x14ac:dyDescent="0.2">
      <c r="A72" s="10" t="str">
        <f t="shared" si="3"/>
        <v>&lt;tr&gt;&lt;td&gt;&lt;i class='fa fa-pencil' aria-hidden='true'&gt;&lt;/i&gt;&lt;/td&gt;&lt;td&gt;&lt;i class='fa fa-trash' aria-hidden='true'&gt;&lt;/i&gt;&lt;/td&gt;&lt;td&gt;Barcode&lt;/td&gt;&lt;td&gt;Su collare bombola&lt;/td&gt;&lt;td&gt;&lt;/td&gt;&lt;td&gt;&lt;/td&gt;&lt;/tr&gt;</v>
      </c>
      <c r="B72" s="15" t="s">
        <v>157</v>
      </c>
      <c r="C72" s="15" t="s">
        <v>235</v>
      </c>
      <c r="D72" s="15" t="s">
        <v>236</v>
      </c>
      <c r="E72" s="34"/>
      <c r="F72" s="34"/>
    </row>
    <row r="73" spans="1:8" ht="12.75" x14ac:dyDescent="0.2">
      <c r="A73" s="10" t="str">
        <f t="shared" si="3"/>
        <v>&lt;tr&gt;&lt;td&gt;&lt;i class='fa fa-pencil' aria-hidden='true'&gt;&lt;/i&gt;&lt;/td&gt;&lt;td&gt;&lt;i class='fa fa-trash' aria-hidden='true'&gt;&lt;/i&gt;&lt;/td&gt;&lt;td&gt;Anello di scadenza&lt;/td&gt;&lt;td&gt;Attorno alla vavola&lt;/td&gt;&lt;td&gt;&lt;/td&gt;&lt;td&gt;????&lt;/td&gt;&lt;/tr&gt;</v>
      </c>
      <c r="B73" s="15" t="s">
        <v>212</v>
      </c>
      <c r="C73" s="15" t="s">
        <v>237</v>
      </c>
      <c r="D73" s="15" t="s">
        <v>238</v>
      </c>
      <c r="E73" s="36"/>
      <c r="F73" s="36" t="s">
        <v>239</v>
      </c>
    </row>
    <row r="74" spans="1:8" ht="12.75" x14ac:dyDescent="0.2">
      <c r="A74" s="10" t="str">
        <f t="shared" si="3"/>
        <v>&lt;tr&gt;&lt;td&gt;&lt;i class='fa fa-pencil' aria-hidden='true'&gt;&lt;/i&gt;&lt;/td&gt;&lt;td&gt;&lt;i class='fa fa-trash' aria-hidden='true'&gt;&lt;/i&gt;&lt;/td&gt;&lt;td&gt;Adesivo Avvertenza&lt;/td&gt;&lt;td&gt;Su cappellotto&lt;/td&gt;&lt;td&gt;&lt;/td&gt;&lt;td&gt;46939&lt;/td&gt;&lt;/tr&gt;</v>
      </c>
      <c r="B74" s="15" t="s">
        <v>212</v>
      </c>
      <c r="C74" s="15" t="s">
        <v>256</v>
      </c>
      <c r="D74" s="15" t="s">
        <v>257</v>
      </c>
      <c r="E74" s="36"/>
      <c r="F74" s="36">
        <v>46939</v>
      </c>
    </row>
    <row r="75" spans="1:8" ht="12.75" x14ac:dyDescent="0.2">
      <c r="A75" s="10" t="str">
        <f t="shared" si="3"/>
        <v>&lt;tr&gt;&lt;td&gt;&lt;i class='fa fa-pencil' aria-hidden='true'&gt;&lt;/i&gt;&lt;/td&gt;&lt;td&gt;&lt;i class='fa fa-trash' aria-hidden='true'&gt;&lt;/i&gt;&lt;/td&gt;&lt;td&gt;Adesivo NON RIMUOVERE&lt;/td&gt;&lt;td&gt;Su foro riempimento&lt;/td&gt;&lt;td&gt;&lt;/td&gt;&lt;td&gt;&lt;/td&gt;&lt;/tr&gt;</v>
      </c>
      <c r="B75" s="15" t="s">
        <v>157</v>
      </c>
      <c r="C75" s="15" t="s">
        <v>258</v>
      </c>
      <c r="D75" s="15" t="s">
        <v>259</v>
      </c>
      <c r="E75" s="38"/>
      <c r="F75" s="38"/>
    </row>
    <row r="76" spans="1:8" ht="12.75" x14ac:dyDescent="0.2">
      <c r="D76" s="19"/>
    </row>
    <row r="77" spans="1:8" ht="12.75" x14ac:dyDescent="0.2">
      <c r="B77" s="29" t="s">
        <v>210</v>
      </c>
      <c r="C77" s="28" t="s">
        <v>83</v>
      </c>
      <c r="D77" s="29" t="s">
        <v>211</v>
      </c>
      <c r="E77" s="29"/>
      <c r="F77" s="29" t="s">
        <v>221</v>
      </c>
      <c r="G77" s="33" t="s">
        <v>154</v>
      </c>
      <c r="H77" s="10" t="s">
        <v>260</v>
      </c>
    </row>
    <row r="78" spans="1:8" ht="12.75" x14ac:dyDescent="0.2">
      <c r="A78" s="10" t="str">
        <f>CONCATENATE("&lt;tr&gt;&lt;td&gt;&lt;i class='fa fa-pencil' aria-hidden='true'&gt;&lt;/i&gt;&lt;/td&gt;&lt;td&gt;&lt;i class='fa fa-trash' aria-hidden='true'&gt;&lt;/i&gt;&lt;/td&gt;&lt;td&gt;",C78,"&lt;/td&gt;&lt;td&gt;",D78,"&lt;/td&gt;&lt;td&gt;",E78,"&lt;/td&gt;&lt;td&gt;",F78,"&lt;/td&gt;&lt;/tr&gt;")</f>
        <v>&lt;tr&gt;&lt;td&gt;&lt;i class='fa fa-pencil' aria-hidden='true'&gt;&lt;/i&gt;&lt;/td&gt;&lt;td&gt;&lt;i class='fa fa-trash' aria-hidden='true'&gt;&lt;/i&gt;&lt;/td&gt;&lt;td&gt;Taglia autorizzata&lt;/td&gt;&lt;td&gt;16 x 50 e 16 x 40&lt;/td&gt;&lt;td&gt;&lt;/td&gt;&lt;td&gt;&lt;/td&gt;&lt;/tr&gt;</v>
      </c>
      <c r="B78" s="15" t="s">
        <v>212</v>
      </c>
      <c r="C78" s="15" t="s">
        <v>223</v>
      </c>
      <c r="D78" s="15" t="s">
        <v>261</v>
      </c>
      <c r="E78" s="34"/>
      <c r="F78" s="34"/>
      <c r="H78" s="10"/>
    </row>
    <row r="79" spans="1:8" ht="12.75" x14ac:dyDescent="0.2">
      <c r="A79" s="10" t="str">
        <f t="shared" ref="A79:A88" si="4">CONCATENATE("&lt;tr&gt;&lt;td&gt;&lt;i class='fa fa-pencil' aria-hidden='true'&gt;&lt;/i&gt;&lt;/td&gt;&lt;td&gt;&lt;i class='fa fa-trash' aria-hidden='true'&gt;&lt;/i&gt;&lt;/td&gt;&lt;td&gt;",C79,"&lt;/td&gt;&lt;td&gt;",D79,"&lt;/td&gt;&lt;td&gt;",E79,"&lt;/td&gt;&lt;td&gt;",F79,"&lt;/td&gt;&lt;/tr&gt;")</f>
        <v>&lt;tr&gt;&lt;td&gt;&lt;i class='fa fa-pencil' aria-hidden='true'&gt;&lt;/i&gt;&lt;/td&gt;&lt;td&gt;&lt;i class='fa fa-trash' aria-hidden='true'&gt;&lt;/i&gt;&lt;/td&gt;&lt;td&gt;Valvola&lt;/td&gt;&lt;td&gt;Argon per pacchi&lt;/td&gt;&lt;td&gt;&lt;/td&gt;&lt;td&gt;45548&lt;/td&gt;&lt;/tr&gt;</v>
      </c>
      <c r="B79" s="15" t="s">
        <v>154</v>
      </c>
      <c r="C79" s="35" t="s">
        <v>225</v>
      </c>
      <c r="D79" s="15" t="s">
        <v>262</v>
      </c>
      <c r="E79" s="36"/>
      <c r="F79" s="36">
        <v>45548</v>
      </c>
    </row>
    <row r="80" spans="1:8" ht="12.75" x14ac:dyDescent="0.2">
      <c r="A80" s="10" t="str">
        <f t="shared" si="4"/>
        <v>&lt;tr&gt;&lt;td&gt;&lt;i class='fa fa-pencil' aria-hidden='true'&gt;&lt;/i&gt;&lt;/td&gt;&lt;td&gt;&lt;i class='fa fa-trash' aria-hidden='true'&gt;&lt;/i&gt;&lt;/td&gt;&lt;td&gt;Termoretraibile&lt;/td&gt;&lt;td&gt;Non previsto&lt;/td&gt;&lt;td&gt;&lt;/td&gt;&lt;td&gt;&lt;/td&gt;&lt;/tr&gt;</v>
      </c>
      <c r="B80" s="15" t="s">
        <v>157</v>
      </c>
      <c r="C80" s="15" t="s">
        <v>230</v>
      </c>
      <c r="D80" s="15" t="s">
        <v>231</v>
      </c>
      <c r="E80" s="34"/>
      <c r="F80" s="34"/>
    </row>
    <row r="81" spans="1:6" ht="12.75" x14ac:dyDescent="0.2">
      <c r="A81" s="10" t="str">
        <f t="shared" si="4"/>
        <v>&lt;tr&gt;&lt;td&gt;&lt;i class='fa fa-pencil' aria-hidden='true'&gt;&lt;/i&gt;&lt;/td&gt;&lt;td&gt;&lt;i class='fa fa-trash' aria-hidden='true'&gt;&lt;/i&gt;&lt;/td&gt;&lt;td&gt;Sigillo riempimento&lt;/td&gt;&lt;td&gt;Grigio, sulla valvola&lt;/td&gt;&lt;td&gt;&lt;/td&gt;&lt;td&gt;58435&lt;/td&gt;&lt;/tr&gt;</v>
      </c>
      <c r="B81" s="15" t="s">
        <v>157</v>
      </c>
      <c r="C81" s="15" t="s">
        <v>232</v>
      </c>
      <c r="D81" s="15" t="s">
        <v>233</v>
      </c>
      <c r="E81" s="36"/>
      <c r="F81" s="36">
        <v>58435</v>
      </c>
    </row>
    <row r="82" spans="1:6" ht="12.75" x14ac:dyDescent="0.2">
      <c r="A82" s="10" t="str">
        <f t="shared" si="4"/>
        <v>&lt;tr&gt;&lt;td&gt;&lt;i class='fa fa-pencil' aria-hidden='true'&gt;&lt;/i&gt;&lt;/td&gt;&lt;td&gt;&lt;i class='fa fa-trash' aria-hidden='true'&gt;&lt;/i&gt;&lt;/td&gt;&lt;td&gt;Cartellino&lt;/td&gt;&lt;td&gt;Non previsto&lt;/td&gt;&lt;td&gt;&lt;/td&gt;&lt;td&gt;&lt;/td&gt;&lt;/tr&gt;</v>
      </c>
      <c r="B82" s="15" t="s">
        <v>157</v>
      </c>
      <c r="C82" s="15" t="s">
        <v>234</v>
      </c>
      <c r="D82" s="15" t="s">
        <v>231</v>
      </c>
      <c r="E82" s="34"/>
      <c r="F82" s="34"/>
    </row>
    <row r="83" spans="1:6" ht="12.75" x14ac:dyDescent="0.2">
      <c r="A83" s="10" t="str">
        <f t="shared" si="4"/>
        <v>&lt;tr&gt;&lt;td&gt;&lt;i class='fa fa-pencil' aria-hidden='true'&gt;&lt;/i&gt;&lt;/td&gt;&lt;td&gt;&lt;i class='fa fa-trash' aria-hidden='true'&gt;&lt;/i&gt;&lt;/td&gt;&lt;td&gt;Barcode&lt;/td&gt;&lt;td&gt;Su pannello anteriore e posteriore&lt;/td&gt;&lt;td&gt;&lt;/td&gt;&lt;td&gt;&lt;/td&gt;&lt;/tr&gt;</v>
      </c>
      <c r="B83" s="15" t="s">
        <v>157</v>
      </c>
      <c r="C83" s="15" t="s">
        <v>235</v>
      </c>
      <c r="D83" s="15" t="s">
        <v>263</v>
      </c>
      <c r="E83" s="34"/>
      <c r="F83" s="34"/>
    </row>
    <row r="84" spans="1:6" ht="12.75" x14ac:dyDescent="0.2">
      <c r="A84" s="10" t="str">
        <f t="shared" si="4"/>
        <v>&lt;tr&gt;&lt;td&gt;&lt;i class='fa fa-pencil' aria-hidden='true'&gt;&lt;/i&gt;&lt;/td&gt;&lt;td&gt;&lt;i class='fa fa-trash' aria-hidden='true'&gt;&lt;/i&gt;&lt;/td&gt;&lt;td&gt;Anello scadenza&lt;/td&gt;&lt;td&gt;Su 4 bombole anteriori&lt;/td&gt;&lt;td&gt;&lt;/td&gt;&lt;td&gt;&lt;/td&gt;&lt;/tr&gt;</v>
      </c>
      <c r="B84" s="15" t="s">
        <v>212</v>
      </c>
      <c r="C84" s="15" t="s">
        <v>264</v>
      </c>
      <c r="D84" s="15" t="s">
        <v>265</v>
      </c>
      <c r="E84" s="34"/>
      <c r="F84" s="34"/>
    </row>
    <row r="85" spans="1:6" ht="12.75" x14ac:dyDescent="0.2">
      <c r="A85" s="10" t="str">
        <f t="shared" si="4"/>
        <v>&lt;tr&gt;&lt;td&gt;&lt;i class='fa fa-pencil' aria-hidden='true'&gt;&lt;/i&gt;&lt;/td&gt;&lt;td&gt;&lt;i class='fa fa-trash' aria-hidden='true'&gt;&lt;/i&gt;&lt;/td&gt;&lt;td&gt;Staffa supporto valvola&lt;/td&gt;&lt;td&gt;Per valvola verticale o orizzontale&lt;/td&gt;&lt;td&gt;&lt;/td&gt;&lt;td&gt;&lt;/td&gt;&lt;/tr&gt;</v>
      </c>
      <c r="B85" s="15" t="s">
        <v>212</v>
      </c>
      <c r="C85" s="15" t="s">
        <v>266</v>
      </c>
      <c r="D85" s="15" t="s">
        <v>267</v>
      </c>
      <c r="E85" s="34"/>
      <c r="F85" s="34"/>
    </row>
    <row r="86" spans="1:6" ht="12.75" x14ac:dyDescent="0.2">
      <c r="A86" s="10" t="str">
        <f t="shared" si="4"/>
        <v>&lt;tr&gt;&lt;td&gt;&lt;i class='fa fa-pencil' aria-hidden='true'&gt;&lt;/i&gt;&lt;/td&gt;&lt;td&gt;&lt;i class='fa fa-trash' aria-hidden='true'&gt;&lt;/i&gt;&lt;/td&gt;&lt;td&gt;Blocchetto valvola&lt;/td&gt;&lt;td&gt;in ottone, su vavola verticale&lt;/td&gt;&lt;td&gt;&lt;/td&gt;&lt;td&gt;&lt;/td&gt;&lt;/tr&gt;</v>
      </c>
      <c r="B86" s="15" t="s">
        <v>212</v>
      </c>
      <c r="C86" s="15" t="s">
        <v>268</v>
      </c>
      <c r="D86" s="15" t="s">
        <v>269</v>
      </c>
      <c r="E86" s="34"/>
      <c r="F86" s="34"/>
    </row>
    <row r="87" spans="1:6" ht="12.75" x14ac:dyDescent="0.2">
      <c r="A87" s="10" t="str">
        <f t="shared" si="4"/>
        <v>&lt;tr&gt;&lt;td&gt;&lt;i class='fa fa-pencil' aria-hidden='true'&gt;&lt;/i&gt;&lt;/td&gt;&lt;td&gt;&lt;i class='fa fa-trash' aria-hidden='true'&gt;&lt;/i&gt;&lt;/td&gt;&lt;td&gt;Logo ADR + brand&lt;/td&gt;&lt;td&gt;Su pannello frontale&lt;/td&gt;&lt;td&gt;&lt;/td&gt;&lt;td&gt;58622&lt;/td&gt;&lt;/tr&gt;</v>
      </c>
      <c r="B87" s="15" t="s">
        <v>212</v>
      </c>
      <c r="C87" s="15" t="s">
        <v>270</v>
      </c>
      <c r="D87" s="15" t="s">
        <v>271</v>
      </c>
      <c r="E87" s="36"/>
      <c r="F87" s="36">
        <v>58622</v>
      </c>
    </row>
    <row r="88" spans="1:6" ht="12.75" x14ac:dyDescent="0.2">
      <c r="A88" s="10" t="str">
        <f t="shared" si="4"/>
        <v>&lt;tr&gt;&lt;td&gt;&lt;i class='fa fa-pencil' aria-hidden='true'&gt;&lt;/i&gt;&lt;/td&gt;&lt;td&gt;&lt;i class='fa fa-trash' aria-hidden='true'&gt;&lt;/i&gt;&lt;/td&gt;&lt;td&gt;Pittogrammi ADR&lt;/td&gt;&lt;td&gt;Su 3 lati senza valvola&lt;/td&gt;&lt;td&gt;&lt;/td&gt;&lt;td&gt;152915&lt;/td&gt;&lt;/tr&gt;</v>
      </c>
      <c r="B88" s="15" t="s">
        <v>212</v>
      </c>
      <c r="C88" s="15" t="s">
        <v>272</v>
      </c>
      <c r="D88" s="15" t="s">
        <v>273</v>
      </c>
      <c r="E88" s="36"/>
      <c r="F88" s="36">
        <v>152915</v>
      </c>
    </row>
    <row r="89" spans="1:6" ht="12.75" x14ac:dyDescent="0.2">
      <c r="D89" s="19"/>
    </row>
    <row r="90" spans="1:6" ht="12.75" x14ac:dyDescent="0.2">
      <c r="D90" s="19"/>
    </row>
    <row r="91" spans="1:6" ht="12.75" x14ac:dyDescent="0.2">
      <c r="D91" s="19"/>
    </row>
    <row r="92" spans="1:6" ht="12.75" x14ac:dyDescent="0.2">
      <c r="C92" s="30" t="s">
        <v>218</v>
      </c>
      <c r="D92" s="23" t="s">
        <v>72</v>
      </c>
    </row>
    <row r="93" spans="1:6" ht="12.75" x14ac:dyDescent="0.2">
      <c r="C93" s="31" t="s">
        <v>219</v>
      </c>
      <c r="D93" s="23" t="s">
        <v>220</v>
      </c>
    </row>
    <row r="94" spans="1:6" ht="12.75" x14ac:dyDescent="0.2">
      <c r="B94" s="10" t="s">
        <v>274</v>
      </c>
      <c r="C94" s="15" t="s">
        <v>223</v>
      </c>
      <c r="D94" s="23"/>
    </row>
    <row r="95" spans="1:6" ht="12.75" x14ac:dyDescent="0.2">
      <c r="C95" s="35" t="s">
        <v>225</v>
      </c>
      <c r="D95" s="23" t="s">
        <v>275</v>
      </c>
    </row>
    <row r="96" spans="1:6" ht="12.75" x14ac:dyDescent="0.2">
      <c r="D96" s="19"/>
    </row>
    <row r="97" spans="2:4" ht="12.75" x14ac:dyDescent="0.2">
      <c r="B97" s="10" t="s">
        <v>276</v>
      </c>
      <c r="D97" s="19"/>
    </row>
    <row r="98" spans="2:4" ht="12.75" x14ac:dyDescent="0.2">
      <c r="D98" s="19"/>
    </row>
    <row r="99" spans="2:4" ht="12.75" x14ac:dyDescent="0.2">
      <c r="D99" s="19"/>
    </row>
    <row r="100" spans="2:4" ht="12.75" x14ac:dyDescent="0.2">
      <c r="D100" s="19"/>
    </row>
    <row r="101" spans="2:4" ht="12.75" x14ac:dyDescent="0.2">
      <c r="D101" s="19"/>
    </row>
    <row r="102" spans="2:4" ht="12.75" x14ac:dyDescent="0.2">
      <c r="D102" s="19"/>
    </row>
    <row r="103" spans="2:4" ht="12.75" x14ac:dyDescent="0.2">
      <c r="D103" s="19"/>
    </row>
    <row r="104" spans="2:4" ht="12.75" x14ac:dyDescent="0.2">
      <c r="D104" s="19"/>
    </row>
    <row r="105" spans="2:4" ht="12.75" x14ac:dyDescent="0.2">
      <c r="D105" s="19"/>
    </row>
    <row r="106" spans="2:4" ht="12.75" x14ac:dyDescent="0.2">
      <c r="D106" s="19"/>
    </row>
    <row r="107" spans="2:4" ht="12.75" x14ac:dyDescent="0.2">
      <c r="D107" s="19"/>
    </row>
    <row r="108" spans="2:4" ht="12.75" x14ac:dyDescent="0.2">
      <c r="D108" s="19"/>
    </row>
    <row r="109" spans="2:4" ht="12.75" x14ac:dyDescent="0.2">
      <c r="D109" s="19"/>
    </row>
    <row r="110" spans="2:4" ht="12.75" x14ac:dyDescent="0.2">
      <c r="D110" s="19"/>
    </row>
    <row r="111" spans="2:4" ht="12.75" x14ac:dyDescent="0.2">
      <c r="D111" s="19"/>
    </row>
    <row r="112" spans="2:4" ht="12.75" x14ac:dyDescent="0.2">
      <c r="D112" s="19"/>
    </row>
    <row r="113" spans="4:4" ht="12.75" x14ac:dyDescent="0.2">
      <c r="D113" s="19"/>
    </row>
    <row r="114" spans="4:4" ht="12.75" x14ac:dyDescent="0.2">
      <c r="D114" s="19"/>
    </row>
    <row r="115" spans="4:4" ht="12.75" x14ac:dyDescent="0.2">
      <c r="D115" s="19"/>
    </row>
    <row r="116" spans="4:4" ht="12.75" x14ac:dyDescent="0.2">
      <c r="D116" s="19"/>
    </row>
    <row r="117" spans="4:4" ht="12.75" x14ac:dyDescent="0.2">
      <c r="D117" s="19"/>
    </row>
    <row r="118" spans="4:4" ht="12.75" x14ac:dyDescent="0.2">
      <c r="D118" s="19"/>
    </row>
    <row r="119" spans="4:4" ht="12.75" x14ac:dyDescent="0.2">
      <c r="D119" s="19"/>
    </row>
    <row r="120" spans="4:4" ht="12.75" x14ac:dyDescent="0.2">
      <c r="D120" s="19"/>
    </row>
    <row r="121" spans="4:4" ht="12.75" x14ac:dyDescent="0.2">
      <c r="D121" s="19"/>
    </row>
    <row r="122" spans="4:4" ht="12.75" x14ac:dyDescent="0.2">
      <c r="D122" s="19"/>
    </row>
    <row r="123" spans="4:4" ht="12.75" x14ac:dyDescent="0.2">
      <c r="D123" s="19"/>
    </row>
    <row r="124" spans="4:4" ht="12.75" x14ac:dyDescent="0.2">
      <c r="D124" s="19"/>
    </row>
    <row r="125" spans="4:4" ht="12.75" x14ac:dyDescent="0.2">
      <c r="D125" s="19"/>
    </row>
    <row r="126" spans="4:4" ht="12.75" x14ac:dyDescent="0.2">
      <c r="D126" s="19"/>
    </row>
    <row r="127" spans="4:4" ht="12.75" x14ac:dyDescent="0.2">
      <c r="D127" s="19"/>
    </row>
    <row r="128" spans="4:4" ht="12.75" x14ac:dyDescent="0.2">
      <c r="D128" s="19"/>
    </row>
    <row r="129" spans="4:4" ht="12.75" x14ac:dyDescent="0.2">
      <c r="D129" s="19"/>
    </row>
    <row r="130" spans="4:4" ht="12.75" x14ac:dyDescent="0.2">
      <c r="D130" s="19"/>
    </row>
    <row r="131" spans="4:4" ht="12.75" x14ac:dyDescent="0.2">
      <c r="D131" s="19"/>
    </row>
    <row r="132" spans="4:4" ht="12.75" x14ac:dyDescent="0.2">
      <c r="D132" s="19"/>
    </row>
    <row r="133" spans="4:4" ht="12.75" x14ac:dyDescent="0.2">
      <c r="D133" s="19"/>
    </row>
    <row r="134" spans="4:4" ht="12.75" x14ac:dyDescent="0.2">
      <c r="D134" s="19"/>
    </row>
    <row r="135" spans="4:4" ht="12.75" x14ac:dyDescent="0.2">
      <c r="D135" s="19"/>
    </row>
    <row r="136" spans="4:4" ht="12.75" x14ac:dyDescent="0.2">
      <c r="D136" s="19"/>
    </row>
    <row r="137" spans="4:4" ht="12.75" x14ac:dyDescent="0.2">
      <c r="D137" s="19"/>
    </row>
    <row r="138" spans="4:4" ht="12.75" x14ac:dyDescent="0.2">
      <c r="D138" s="19"/>
    </row>
    <row r="139" spans="4:4" ht="12.75" x14ac:dyDescent="0.2">
      <c r="D139" s="19"/>
    </row>
    <row r="140" spans="4:4" ht="12.75" x14ac:dyDescent="0.2">
      <c r="D140" s="19"/>
    </row>
    <row r="141" spans="4:4" ht="12.75" x14ac:dyDescent="0.2">
      <c r="D141" s="19"/>
    </row>
    <row r="142" spans="4:4" ht="12.75" x14ac:dyDescent="0.2">
      <c r="D142" s="19"/>
    </row>
    <row r="143" spans="4:4" ht="12.75" x14ac:dyDescent="0.2">
      <c r="D143" s="19"/>
    </row>
    <row r="144" spans="4:4" ht="12.75" x14ac:dyDescent="0.2">
      <c r="D144" s="19"/>
    </row>
    <row r="145" spans="4:4" ht="12.75" x14ac:dyDescent="0.2">
      <c r="D145" s="19"/>
    </row>
    <row r="146" spans="4:4" ht="12.75" x14ac:dyDescent="0.2">
      <c r="D146" s="19"/>
    </row>
    <row r="147" spans="4:4" ht="12.75" x14ac:dyDescent="0.2">
      <c r="D147" s="19"/>
    </row>
    <row r="148" spans="4:4" ht="12.75" x14ac:dyDescent="0.2">
      <c r="D148" s="19"/>
    </row>
    <row r="149" spans="4:4" ht="12.75" x14ac:dyDescent="0.2">
      <c r="D149" s="19"/>
    </row>
    <row r="150" spans="4:4" ht="12.75" x14ac:dyDescent="0.2">
      <c r="D150" s="19"/>
    </row>
    <row r="151" spans="4:4" ht="12.75" x14ac:dyDescent="0.2">
      <c r="D151" s="19"/>
    </row>
    <row r="152" spans="4:4" ht="12.75" x14ac:dyDescent="0.2">
      <c r="D152" s="19"/>
    </row>
    <row r="153" spans="4:4" ht="12.75" x14ac:dyDescent="0.2">
      <c r="D153" s="19"/>
    </row>
    <row r="154" spans="4:4" ht="12.75" x14ac:dyDescent="0.2">
      <c r="D154" s="19"/>
    </row>
    <row r="155" spans="4:4" ht="12.75" x14ac:dyDescent="0.2">
      <c r="D155" s="19"/>
    </row>
    <row r="156" spans="4:4" ht="12.75" x14ac:dyDescent="0.2">
      <c r="D156" s="19"/>
    </row>
    <row r="157" spans="4:4" ht="12.75" x14ac:dyDescent="0.2">
      <c r="D157" s="19"/>
    </row>
    <row r="158" spans="4:4" ht="12.75" x14ac:dyDescent="0.2">
      <c r="D158" s="19"/>
    </row>
    <row r="159" spans="4:4" ht="12.75" x14ac:dyDescent="0.2">
      <c r="D159" s="19"/>
    </row>
    <row r="160" spans="4:4" ht="12.75" x14ac:dyDescent="0.2">
      <c r="D160" s="19"/>
    </row>
    <row r="161" spans="4:4" ht="12.75" x14ac:dyDescent="0.2">
      <c r="D161" s="19"/>
    </row>
    <row r="162" spans="4:4" ht="12.75" x14ac:dyDescent="0.2">
      <c r="D162" s="19"/>
    </row>
    <row r="163" spans="4:4" ht="12.75" x14ac:dyDescent="0.2">
      <c r="D163" s="19"/>
    </row>
    <row r="164" spans="4:4" ht="12.75" x14ac:dyDescent="0.2">
      <c r="D164" s="19"/>
    </row>
    <row r="165" spans="4:4" ht="12.75" x14ac:dyDescent="0.2">
      <c r="D165" s="19"/>
    </row>
    <row r="166" spans="4:4" ht="12.75" x14ac:dyDescent="0.2">
      <c r="D166" s="19"/>
    </row>
    <row r="167" spans="4:4" ht="12.75" x14ac:dyDescent="0.2">
      <c r="D167" s="19"/>
    </row>
    <row r="168" spans="4:4" ht="12.75" x14ac:dyDescent="0.2">
      <c r="D168" s="19"/>
    </row>
    <row r="169" spans="4:4" ht="12.75" x14ac:dyDescent="0.2">
      <c r="D169" s="19"/>
    </row>
    <row r="170" spans="4:4" ht="12.75" x14ac:dyDescent="0.2">
      <c r="D170" s="19"/>
    </row>
    <row r="171" spans="4:4" ht="12.75" x14ac:dyDescent="0.2">
      <c r="D171" s="19"/>
    </row>
    <row r="172" spans="4:4" ht="12.75" x14ac:dyDescent="0.2">
      <c r="D172" s="19"/>
    </row>
    <row r="173" spans="4:4" ht="12.75" x14ac:dyDescent="0.2">
      <c r="D173" s="19"/>
    </row>
    <row r="174" spans="4:4" ht="12.75" x14ac:dyDescent="0.2">
      <c r="D174" s="19"/>
    </row>
    <row r="175" spans="4:4" ht="12.75" x14ac:dyDescent="0.2">
      <c r="D175" s="19"/>
    </row>
    <row r="176" spans="4:4" ht="12.75" x14ac:dyDescent="0.2">
      <c r="D176" s="19"/>
    </row>
    <row r="177" spans="4:4" ht="12.75" x14ac:dyDescent="0.2">
      <c r="D177" s="19"/>
    </row>
    <row r="178" spans="4:4" ht="12.75" x14ac:dyDescent="0.2">
      <c r="D178" s="19"/>
    </row>
    <row r="179" spans="4:4" ht="12.75" x14ac:dyDescent="0.2">
      <c r="D179" s="19"/>
    </row>
    <row r="180" spans="4:4" ht="12.75" x14ac:dyDescent="0.2">
      <c r="D180" s="19"/>
    </row>
    <row r="181" spans="4:4" ht="12.75" x14ac:dyDescent="0.2">
      <c r="D181" s="19"/>
    </row>
    <row r="182" spans="4:4" ht="12.75" x14ac:dyDescent="0.2">
      <c r="D182" s="19"/>
    </row>
    <row r="183" spans="4:4" ht="12.75" x14ac:dyDescent="0.2">
      <c r="D183" s="19"/>
    </row>
    <row r="184" spans="4:4" ht="12.75" x14ac:dyDescent="0.2">
      <c r="D184" s="19"/>
    </row>
    <row r="185" spans="4:4" ht="12.75" x14ac:dyDescent="0.2">
      <c r="D185" s="19"/>
    </row>
    <row r="186" spans="4:4" ht="12.75" x14ac:dyDescent="0.2">
      <c r="D186" s="19"/>
    </row>
    <row r="187" spans="4:4" ht="12.75" x14ac:dyDescent="0.2">
      <c r="D187" s="19"/>
    </row>
    <row r="188" spans="4:4" ht="12.75" x14ac:dyDescent="0.2">
      <c r="D188" s="19"/>
    </row>
    <row r="189" spans="4:4" ht="12.75" x14ac:dyDescent="0.2">
      <c r="D189" s="19"/>
    </row>
    <row r="190" spans="4:4" ht="12.75" x14ac:dyDescent="0.2">
      <c r="D190" s="19"/>
    </row>
    <row r="191" spans="4:4" ht="12.75" x14ac:dyDescent="0.2">
      <c r="D191" s="19"/>
    </row>
    <row r="192" spans="4:4" ht="12.75" x14ac:dyDescent="0.2">
      <c r="D192" s="19"/>
    </row>
    <row r="193" spans="4:4" ht="12.75" x14ac:dyDescent="0.2">
      <c r="D193" s="19"/>
    </row>
    <row r="194" spans="4:4" ht="12.75" x14ac:dyDescent="0.2">
      <c r="D194" s="19"/>
    </row>
    <row r="195" spans="4:4" ht="12.75" x14ac:dyDescent="0.2">
      <c r="D195" s="19"/>
    </row>
    <row r="196" spans="4:4" ht="12.75" x14ac:dyDescent="0.2">
      <c r="D196" s="19"/>
    </row>
    <row r="197" spans="4:4" ht="12.75" x14ac:dyDescent="0.2">
      <c r="D197" s="19"/>
    </row>
    <row r="198" spans="4:4" ht="12.75" x14ac:dyDescent="0.2">
      <c r="D198" s="19"/>
    </row>
    <row r="199" spans="4:4" ht="12.75" x14ac:dyDescent="0.2">
      <c r="D199" s="19"/>
    </row>
    <row r="200" spans="4:4" ht="12.75" x14ac:dyDescent="0.2">
      <c r="D200" s="19"/>
    </row>
    <row r="201" spans="4:4" ht="12.75" x14ac:dyDescent="0.2">
      <c r="D201" s="19"/>
    </row>
    <row r="202" spans="4:4" ht="12.75" x14ac:dyDescent="0.2">
      <c r="D202" s="19"/>
    </row>
    <row r="203" spans="4:4" ht="12.75" x14ac:dyDescent="0.2">
      <c r="D203" s="19"/>
    </row>
    <row r="204" spans="4:4" ht="12.75" x14ac:dyDescent="0.2">
      <c r="D204" s="19"/>
    </row>
    <row r="205" spans="4:4" ht="12.75" x14ac:dyDescent="0.2">
      <c r="D205" s="19"/>
    </row>
    <row r="206" spans="4:4" ht="12.75" x14ac:dyDescent="0.2">
      <c r="D206" s="19"/>
    </row>
    <row r="207" spans="4:4" ht="12.75" x14ac:dyDescent="0.2">
      <c r="D207" s="19"/>
    </row>
    <row r="208" spans="4:4" ht="12.75" x14ac:dyDescent="0.2">
      <c r="D208" s="19"/>
    </row>
    <row r="209" spans="4:4" ht="12.75" x14ac:dyDescent="0.2">
      <c r="D209" s="19"/>
    </row>
    <row r="210" spans="4:4" ht="12.75" x14ac:dyDescent="0.2">
      <c r="D210" s="19"/>
    </row>
    <row r="211" spans="4:4" ht="12.75" x14ac:dyDescent="0.2">
      <c r="D211" s="19"/>
    </row>
    <row r="212" spans="4:4" ht="12.75" x14ac:dyDescent="0.2">
      <c r="D212" s="19"/>
    </row>
    <row r="213" spans="4:4" ht="12.75" x14ac:dyDescent="0.2">
      <c r="D213" s="19"/>
    </row>
    <row r="214" spans="4:4" ht="12.75" x14ac:dyDescent="0.2">
      <c r="D214" s="19"/>
    </row>
    <row r="215" spans="4:4" ht="12.75" x14ac:dyDescent="0.2">
      <c r="D215" s="19"/>
    </row>
    <row r="216" spans="4:4" ht="12.75" x14ac:dyDescent="0.2">
      <c r="D216" s="19"/>
    </row>
    <row r="217" spans="4:4" ht="12.75" x14ac:dyDescent="0.2">
      <c r="D217" s="19"/>
    </row>
    <row r="218" spans="4:4" ht="12.75" x14ac:dyDescent="0.2">
      <c r="D218" s="19"/>
    </row>
    <row r="219" spans="4:4" ht="12.75" x14ac:dyDescent="0.2">
      <c r="D219" s="19"/>
    </row>
    <row r="220" spans="4:4" ht="12.75" x14ac:dyDescent="0.2">
      <c r="D220" s="19"/>
    </row>
    <row r="221" spans="4:4" ht="12.75" x14ac:dyDescent="0.2">
      <c r="D221" s="19"/>
    </row>
    <row r="222" spans="4:4" ht="12.75" x14ac:dyDescent="0.2">
      <c r="D222" s="19"/>
    </row>
    <row r="223" spans="4:4" ht="12.75" x14ac:dyDescent="0.2">
      <c r="D223" s="19"/>
    </row>
    <row r="224" spans="4:4" ht="12.75" x14ac:dyDescent="0.2">
      <c r="D224" s="19"/>
    </row>
    <row r="225" spans="4:4" ht="12.75" x14ac:dyDescent="0.2">
      <c r="D225" s="19"/>
    </row>
    <row r="226" spans="4:4" ht="12.75" x14ac:dyDescent="0.2">
      <c r="D226" s="19"/>
    </row>
    <row r="227" spans="4:4" ht="12.75" x14ac:dyDescent="0.2">
      <c r="D227" s="19"/>
    </row>
    <row r="228" spans="4:4" ht="12.75" x14ac:dyDescent="0.2">
      <c r="D228" s="19"/>
    </row>
    <row r="229" spans="4:4" ht="12.75" x14ac:dyDescent="0.2">
      <c r="D229" s="19"/>
    </row>
    <row r="230" spans="4:4" ht="12.75" x14ac:dyDescent="0.2">
      <c r="D230" s="19"/>
    </row>
    <row r="231" spans="4:4" ht="12.75" x14ac:dyDescent="0.2">
      <c r="D231" s="19"/>
    </row>
    <row r="232" spans="4:4" ht="12.75" x14ac:dyDescent="0.2">
      <c r="D232" s="19"/>
    </row>
    <row r="233" spans="4:4" ht="12.75" x14ac:dyDescent="0.2">
      <c r="D233" s="19"/>
    </row>
    <row r="234" spans="4:4" ht="12.75" x14ac:dyDescent="0.2">
      <c r="D234" s="19"/>
    </row>
    <row r="235" spans="4:4" ht="12.75" x14ac:dyDescent="0.2">
      <c r="D235" s="19"/>
    </row>
    <row r="236" spans="4:4" ht="12.75" x14ac:dyDescent="0.2">
      <c r="D236" s="19"/>
    </row>
    <row r="237" spans="4:4" ht="12.75" x14ac:dyDescent="0.2">
      <c r="D237" s="19"/>
    </row>
    <row r="238" spans="4:4" ht="12.75" x14ac:dyDescent="0.2">
      <c r="D238" s="19"/>
    </row>
    <row r="239" spans="4:4" ht="12.75" x14ac:dyDescent="0.2">
      <c r="D239" s="19"/>
    </row>
    <row r="240" spans="4:4" ht="12.75" x14ac:dyDescent="0.2">
      <c r="D240" s="19"/>
    </row>
    <row r="241" spans="4:4" ht="12.75" x14ac:dyDescent="0.2">
      <c r="D241" s="19"/>
    </row>
    <row r="242" spans="4:4" ht="12.75" x14ac:dyDescent="0.2">
      <c r="D242" s="19"/>
    </row>
    <row r="243" spans="4:4" ht="12.75" x14ac:dyDescent="0.2">
      <c r="D243" s="19"/>
    </row>
    <row r="244" spans="4:4" ht="12.75" x14ac:dyDescent="0.2">
      <c r="D244" s="19"/>
    </row>
    <row r="245" spans="4:4" ht="12.75" x14ac:dyDescent="0.2">
      <c r="D245" s="19"/>
    </row>
    <row r="246" spans="4:4" ht="12.75" x14ac:dyDescent="0.2">
      <c r="D246" s="19"/>
    </row>
    <row r="247" spans="4:4" ht="12.75" x14ac:dyDescent="0.2">
      <c r="D247" s="19"/>
    </row>
    <row r="248" spans="4:4" ht="12.75" x14ac:dyDescent="0.2">
      <c r="D248" s="19"/>
    </row>
    <row r="249" spans="4:4" ht="12.75" x14ac:dyDescent="0.2">
      <c r="D249" s="19"/>
    </row>
    <row r="250" spans="4:4" ht="12.75" x14ac:dyDescent="0.2">
      <c r="D250" s="19"/>
    </row>
    <row r="251" spans="4:4" ht="12.75" x14ac:dyDescent="0.2">
      <c r="D251" s="19"/>
    </row>
    <row r="252" spans="4:4" ht="12.75" x14ac:dyDescent="0.2">
      <c r="D252" s="19"/>
    </row>
    <row r="253" spans="4:4" ht="12.75" x14ac:dyDescent="0.2">
      <c r="D253" s="19"/>
    </row>
    <row r="254" spans="4:4" ht="12.75" x14ac:dyDescent="0.2">
      <c r="D254" s="19"/>
    </row>
    <row r="255" spans="4:4" ht="12.75" x14ac:dyDescent="0.2">
      <c r="D255" s="19"/>
    </row>
    <row r="256" spans="4:4" ht="12.75" x14ac:dyDescent="0.2">
      <c r="D256" s="19"/>
    </row>
    <row r="257" spans="4:4" ht="12.75" x14ac:dyDescent="0.2">
      <c r="D257" s="19"/>
    </row>
    <row r="258" spans="4:4" ht="12.75" x14ac:dyDescent="0.2">
      <c r="D258" s="19"/>
    </row>
    <row r="259" spans="4:4" ht="12.75" x14ac:dyDescent="0.2">
      <c r="D259" s="19"/>
    </row>
    <row r="260" spans="4:4" ht="12.75" x14ac:dyDescent="0.2">
      <c r="D260" s="19"/>
    </row>
    <row r="261" spans="4:4" ht="12.75" x14ac:dyDescent="0.2">
      <c r="D261" s="19"/>
    </row>
    <row r="262" spans="4:4" ht="12.75" x14ac:dyDescent="0.2">
      <c r="D262" s="19"/>
    </row>
    <row r="263" spans="4:4" ht="12.75" x14ac:dyDescent="0.2">
      <c r="D263" s="19"/>
    </row>
    <row r="264" spans="4:4" ht="12.75" x14ac:dyDescent="0.2">
      <c r="D264" s="19"/>
    </row>
    <row r="265" spans="4:4" ht="12.75" x14ac:dyDescent="0.2">
      <c r="D265" s="19"/>
    </row>
    <row r="266" spans="4:4" ht="12.75" x14ac:dyDescent="0.2">
      <c r="D266" s="19"/>
    </row>
    <row r="267" spans="4:4" ht="12.75" x14ac:dyDescent="0.2">
      <c r="D267" s="19"/>
    </row>
    <row r="268" spans="4:4" ht="12.75" x14ac:dyDescent="0.2">
      <c r="D268" s="19"/>
    </row>
    <row r="269" spans="4:4" ht="12.75" x14ac:dyDescent="0.2">
      <c r="D269" s="19"/>
    </row>
    <row r="270" spans="4:4" ht="12.75" x14ac:dyDescent="0.2">
      <c r="D270" s="19"/>
    </row>
    <row r="271" spans="4:4" ht="12.75" x14ac:dyDescent="0.2">
      <c r="D271" s="19"/>
    </row>
    <row r="272" spans="4:4" ht="12.75" x14ac:dyDescent="0.2">
      <c r="D272" s="19"/>
    </row>
    <row r="273" spans="4:4" ht="12.75" x14ac:dyDescent="0.2">
      <c r="D273" s="19"/>
    </row>
    <row r="274" spans="4:4" ht="12.75" x14ac:dyDescent="0.2">
      <c r="D274" s="19"/>
    </row>
    <row r="275" spans="4:4" ht="12.75" x14ac:dyDescent="0.2">
      <c r="D275" s="19"/>
    </row>
    <row r="276" spans="4:4" ht="12.75" x14ac:dyDescent="0.2">
      <c r="D276" s="19"/>
    </row>
    <row r="277" spans="4:4" ht="12.75" x14ac:dyDescent="0.2">
      <c r="D277" s="19"/>
    </row>
    <row r="278" spans="4:4" ht="12.75" x14ac:dyDescent="0.2">
      <c r="D278" s="19"/>
    </row>
    <row r="279" spans="4:4" ht="12.75" x14ac:dyDescent="0.2">
      <c r="D279" s="19"/>
    </row>
    <row r="280" spans="4:4" ht="12.75" x14ac:dyDescent="0.2">
      <c r="D280" s="19"/>
    </row>
    <row r="281" spans="4:4" ht="12.75" x14ac:dyDescent="0.2">
      <c r="D281" s="19"/>
    </row>
    <row r="282" spans="4:4" ht="12.75" x14ac:dyDescent="0.2">
      <c r="D282" s="19"/>
    </row>
    <row r="283" spans="4:4" ht="12.75" x14ac:dyDescent="0.2">
      <c r="D283" s="19"/>
    </row>
    <row r="284" spans="4:4" ht="12.75" x14ac:dyDescent="0.2">
      <c r="D284" s="19"/>
    </row>
    <row r="285" spans="4:4" ht="12.75" x14ac:dyDescent="0.2">
      <c r="D285" s="19"/>
    </row>
    <row r="286" spans="4:4" ht="12.75" x14ac:dyDescent="0.2">
      <c r="D286" s="19"/>
    </row>
    <row r="287" spans="4:4" ht="12.75" x14ac:dyDescent="0.2">
      <c r="D287" s="19"/>
    </row>
    <row r="288" spans="4:4" ht="12.75" x14ac:dyDescent="0.2">
      <c r="D288" s="19"/>
    </row>
    <row r="289" spans="4:4" ht="12.75" x14ac:dyDescent="0.2">
      <c r="D289" s="19"/>
    </row>
    <row r="290" spans="4:4" ht="12.75" x14ac:dyDescent="0.2">
      <c r="D290" s="19"/>
    </row>
    <row r="291" spans="4:4" ht="12.75" x14ac:dyDescent="0.2">
      <c r="D291" s="19"/>
    </row>
    <row r="292" spans="4:4" ht="12.75" x14ac:dyDescent="0.2">
      <c r="D292" s="19"/>
    </row>
    <row r="293" spans="4:4" ht="12.75" x14ac:dyDescent="0.2">
      <c r="D293" s="19"/>
    </row>
    <row r="294" spans="4:4" ht="12.75" x14ac:dyDescent="0.2">
      <c r="D294" s="19"/>
    </row>
    <row r="295" spans="4:4" ht="12.75" x14ac:dyDescent="0.2">
      <c r="D295" s="19"/>
    </row>
    <row r="296" spans="4:4" ht="12.75" x14ac:dyDescent="0.2">
      <c r="D296" s="19"/>
    </row>
    <row r="297" spans="4:4" ht="12.75" x14ac:dyDescent="0.2">
      <c r="D297" s="19"/>
    </row>
    <row r="298" spans="4:4" ht="12.75" x14ac:dyDescent="0.2">
      <c r="D298" s="19"/>
    </row>
    <row r="299" spans="4:4" ht="12.75" x14ac:dyDescent="0.2">
      <c r="D299" s="19"/>
    </row>
    <row r="300" spans="4:4" ht="12.75" x14ac:dyDescent="0.2">
      <c r="D300" s="19"/>
    </row>
    <row r="301" spans="4:4" ht="12.75" x14ac:dyDescent="0.2">
      <c r="D301" s="19"/>
    </row>
    <row r="302" spans="4:4" ht="12.75" x14ac:dyDescent="0.2">
      <c r="D302" s="19"/>
    </row>
    <row r="303" spans="4:4" ht="12.75" x14ac:dyDescent="0.2">
      <c r="D303" s="19"/>
    </row>
    <row r="304" spans="4:4" ht="12.75" x14ac:dyDescent="0.2">
      <c r="D304" s="19"/>
    </row>
    <row r="305" spans="4:4" ht="12.75" x14ac:dyDescent="0.2">
      <c r="D305" s="19"/>
    </row>
    <row r="306" spans="4:4" ht="12.75" x14ac:dyDescent="0.2">
      <c r="D306" s="19"/>
    </row>
    <row r="307" spans="4:4" ht="12.75" x14ac:dyDescent="0.2">
      <c r="D307" s="19"/>
    </row>
    <row r="308" spans="4:4" ht="12.75" x14ac:dyDescent="0.2">
      <c r="D308" s="19"/>
    </row>
    <row r="309" spans="4:4" ht="12.75" x14ac:dyDescent="0.2">
      <c r="D309" s="19"/>
    </row>
    <row r="310" spans="4:4" ht="12.75" x14ac:dyDescent="0.2">
      <c r="D310" s="19"/>
    </row>
    <row r="311" spans="4:4" ht="12.75" x14ac:dyDescent="0.2">
      <c r="D311" s="19"/>
    </row>
    <row r="312" spans="4:4" ht="12.75" x14ac:dyDescent="0.2">
      <c r="D312" s="19"/>
    </row>
    <row r="313" spans="4:4" ht="12.75" x14ac:dyDescent="0.2">
      <c r="D313" s="19"/>
    </row>
    <row r="314" spans="4:4" ht="12.75" x14ac:dyDescent="0.2">
      <c r="D314" s="19"/>
    </row>
    <row r="315" spans="4:4" ht="12.75" x14ac:dyDescent="0.2">
      <c r="D315" s="19"/>
    </row>
    <row r="316" spans="4:4" ht="12.75" x14ac:dyDescent="0.2">
      <c r="D316" s="19"/>
    </row>
    <row r="317" spans="4:4" ht="12.75" x14ac:dyDescent="0.2">
      <c r="D317" s="19"/>
    </row>
    <row r="318" spans="4:4" ht="12.75" x14ac:dyDescent="0.2">
      <c r="D318" s="19"/>
    </row>
    <row r="319" spans="4:4" ht="12.75" x14ac:dyDescent="0.2">
      <c r="D319" s="19"/>
    </row>
    <row r="320" spans="4:4" ht="12.75" x14ac:dyDescent="0.2">
      <c r="D320" s="19"/>
    </row>
    <row r="321" spans="4:4" ht="12.75" x14ac:dyDescent="0.2">
      <c r="D321" s="19"/>
    </row>
    <row r="322" spans="4:4" ht="12.75" x14ac:dyDescent="0.2">
      <c r="D322" s="19"/>
    </row>
    <row r="323" spans="4:4" ht="12.75" x14ac:dyDescent="0.2">
      <c r="D323" s="19"/>
    </row>
    <row r="324" spans="4:4" ht="12.75" x14ac:dyDescent="0.2">
      <c r="D324" s="19"/>
    </row>
    <row r="325" spans="4:4" ht="12.75" x14ac:dyDescent="0.2">
      <c r="D325" s="19"/>
    </row>
    <row r="326" spans="4:4" ht="12.75" x14ac:dyDescent="0.2">
      <c r="D326" s="19"/>
    </row>
    <row r="327" spans="4:4" ht="12.75" x14ac:dyDescent="0.2">
      <c r="D327" s="19"/>
    </row>
    <row r="328" spans="4:4" ht="12.75" x14ac:dyDescent="0.2">
      <c r="D328" s="19"/>
    </row>
    <row r="329" spans="4:4" ht="12.75" x14ac:dyDescent="0.2">
      <c r="D329" s="19"/>
    </row>
    <row r="330" spans="4:4" ht="12.75" x14ac:dyDescent="0.2">
      <c r="D330" s="19"/>
    </row>
    <row r="331" spans="4:4" ht="12.75" x14ac:dyDescent="0.2">
      <c r="D331" s="19"/>
    </row>
    <row r="332" spans="4:4" ht="12.75" x14ac:dyDescent="0.2">
      <c r="D332" s="19"/>
    </row>
    <row r="333" spans="4:4" ht="12.75" x14ac:dyDescent="0.2">
      <c r="D333" s="19"/>
    </row>
    <row r="334" spans="4:4" ht="12.75" x14ac:dyDescent="0.2">
      <c r="D334" s="19"/>
    </row>
    <row r="335" spans="4:4" ht="12.75" x14ac:dyDescent="0.2">
      <c r="D335" s="19"/>
    </row>
    <row r="336" spans="4:4" ht="12.75" x14ac:dyDescent="0.2">
      <c r="D336" s="19"/>
    </row>
    <row r="337" spans="4:4" ht="12.75" x14ac:dyDescent="0.2">
      <c r="D337" s="19"/>
    </row>
    <row r="338" spans="4:4" ht="12.75" x14ac:dyDescent="0.2">
      <c r="D338" s="19"/>
    </row>
    <row r="339" spans="4:4" ht="12.75" x14ac:dyDescent="0.2">
      <c r="D339" s="19"/>
    </row>
    <row r="340" spans="4:4" ht="12.75" x14ac:dyDescent="0.2">
      <c r="D340" s="19"/>
    </row>
    <row r="341" spans="4:4" ht="12.75" x14ac:dyDescent="0.2">
      <c r="D341" s="19"/>
    </row>
    <row r="342" spans="4:4" ht="12.75" x14ac:dyDescent="0.2">
      <c r="D342" s="19"/>
    </row>
    <row r="343" spans="4:4" ht="12.75" x14ac:dyDescent="0.2">
      <c r="D343" s="19"/>
    </row>
    <row r="344" spans="4:4" ht="12.75" x14ac:dyDescent="0.2">
      <c r="D344" s="19"/>
    </row>
    <row r="345" spans="4:4" ht="12.75" x14ac:dyDescent="0.2">
      <c r="D345" s="19"/>
    </row>
    <row r="346" spans="4:4" ht="12.75" x14ac:dyDescent="0.2">
      <c r="D346" s="19"/>
    </row>
    <row r="347" spans="4:4" ht="12.75" x14ac:dyDescent="0.2">
      <c r="D347" s="19"/>
    </row>
    <row r="348" spans="4:4" ht="12.75" x14ac:dyDescent="0.2">
      <c r="D348" s="19"/>
    </row>
    <row r="349" spans="4:4" ht="12.75" x14ac:dyDescent="0.2">
      <c r="D349" s="19"/>
    </row>
    <row r="350" spans="4:4" ht="12.75" x14ac:dyDescent="0.2">
      <c r="D350" s="19"/>
    </row>
    <row r="351" spans="4:4" ht="12.75" x14ac:dyDescent="0.2">
      <c r="D351" s="19"/>
    </row>
    <row r="352" spans="4:4" ht="12.75" x14ac:dyDescent="0.2">
      <c r="D352" s="19"/>
    </row>
    <row r="353" spans="4:4" ht="12.75" x14ac:dyDescent="0.2">
      <c r="D353" s="19"/>
    </row>
    <row r="354" spans="4:4" ht="12.75" x14ac:dyDescent="0.2">
      <c r="D354" s="19"/>
    </row>
    <row r="355" spans="4:4" ht="12.75" x14ac:dyDescent="0.2">
      <c r="D355" s="19"/>
    </row>
    <row r="356" spans="4:4" ht="12.75" x14ac:dyDescent="0.2">
      <c r="D356" s="19"/>
    </row>
    <row r="357" spans="4:4" ht="12.75" x14ac:dyDescent="0.2">
      <c r="D357" s="19"/>
    </row>
    <row r="358" spans="4:4" ht="12.75" x14ac:dyDescent="0.2">
      <c r="D358" s="19"/>
    </row>
    <row r="359" spans="4:4" ht="12.75" x14ac:dyDescent="0.2">
      <c r="D359" s="19"/>
    </row>
    <row r="360" spans="4:4" ht="12.75" x14ac:dyDescent="0.2">
      <c r="D360" s="19"/>
    </row>
    <row r="361" spans="4:4" ht="12.75" x14ac:dyDescent="0.2">
      <c r="D361" s="19"/>
    </row>
    <row r="362" spans="4:4" ht="12.75" x14ac:dyDescent="0.2">
      <c r="D362" s="19"/>
    </row>
    <row r="363" spans="4:4" ht="12.75" x14ac:dyDescent="0.2">
      <c r="D363" s="19"/>
    </row>
    <row r="364" spans="4:4" ht="12.75" x14ac:dyDescent="0.2">
      <c r="D364" s="19"/>
    </row>
    <row r="365" spans="4:4" ht="12.75" x14ac:dyDescent="0.2">
      <c r="D365" s="19"/>
    </row>
    <row r="366" spans="4:4" ht="12.75" x14ac:dyDescent="0.2">
      <c r="D366" s="19"/>
    </row>
    <row r="367" spans="4:4" ht="12.75" x14ac:dyDescent="0.2">
      <c r="D367" s="19"/>
    </row>
    <row r="368" spans="4:4" ht="12.75" x14ac:dyDescent="0.2">
      <c r="D368" s="19"/>
    </row>
    <row r="369" spans="4:4" ht="12.75" x14ac:dyDescent="0.2">
      <c r="D369" s="19"/>
    </row>
    <row r="370" spans="4:4" ht="12.75" x14ac:dyDescent="0.2">
      <c r="D370" s="19"/>
    </row>
    <row r="371" spans="4:4" ht="12.75" x14ac:dyDescent="0.2">
      <c r="D371" s="19"/>
    </row>
    <row r="372" spans="4:4" ht="12.75" x14ac:dyDescent="0.2">
      <c r="D372" s="19"/>
    </row>
    <row r="373" spans="4:4" ht="12.75" x14ac:dyDescent="0.2">
      <c r="D373" s="19"/>
    </row>
    <row r="374" spans="4:4" ht="12.75" x14ac:dyDescent="0.2">
      <c r="D374" s="19"/>
    </row>
    <row r="375" spans="4:4" ht="12.75" x14ac:dyDescent="0.2">
      <c r="D375" s="19"/>
    </row>
    <row r="376" spans="4:4" ht="12.75" x14ac:dyDescent="0.2">
      <c r="D376" s="19"/>
    </row>
    <row r="377" spans="4:4" ht="12.75" x14ac:dyDescent="0.2">
      <c r="D377" s="19"/>
    </row>
    <row r="378" spans="4:4" ht="12.75" x14ac:dyDescent="0.2">
      <c r="D378" s="19"/>
    </row>
    <row r="379" spans="4:4" ht="12.75" x14ac:dyDescent="0.2">
      <c r="D379" s="19"/>
    </row>
    <row r="380" spans="4:4" ht="12.75" x14ac:dyDescent="0.2">
      <c r="D380" s="19"/>
    </row>
    <row r="381" spans="4:4" ht="12.75" x14ac:dyDescent="0.2">
      <c r="D381" s="19"/>
    </row>
    <row r="382" spans="4:4" ht="12.75" x14ac:dyDescent="0.2">
      <c r="D382" s="19"/>
    </row>
    <row r="383" spans="4:4" ht="12.75" x14ac:dyDescent="0.2">
      <c r="D383" s="19"/>
    </row>
    <row r="384" spans="4:4" ht="12.75" x14ac:dyDescent="0.2">
      <c r="D384" s="19"/>
    </row>
    <row r="385" spans="4:4" ht="12.75" x14ac:dyDescent="0.2">
      <c r="D385" s="19"/>
    </row>
    <row r="386" spans="4:4" ht="12.75" x14ac:dyDescent="0.2">
      <c r="D386" s="19"/>
    </row>
    <row r="387" spans="4:4" ht="12.75" x14ac:dyDescent="0.2">
      <c r="D387" s="19"/>
    </row>
    <row r="388" spans="4:4" ht="12.75" x14ac:dyDescent="0.2">
      <c r="D388" s="19"/>
    </row>
    <row r="389" spans="4:4" ht="12.75" x14ac:dyDescent="0.2">
      <c r="D389" s="19"/>
    </row>
    <row r="390" spans="4:4" ht="12.75" x14ac:dyDescent="0.2">
      <c r="D390" s="19"/>
    </row>
    <row r="391" spans="4:4" ht="12.75" x14ac:dyDescent="0.2">
      <c r="D391" s="19"/>
    </row>
    <row r="392" spans="4:4" ht="12.75" x14ac:dyDescent="0.2">
      <c r="D392" s="19"/>
    </row>
    <row r="393" spans="4:4" ht="12.75" x14ac:dyDescent="0.2">
      <c r="D393" s="19"/>
    </row>
    <row r="394" spans="4:4" ht="12.75" x14ac:dyDescent="0.2">
      <c r="D394" s="19"/>
    </row>
    <row r="395" spans="4:4" ht="12.75" x14ac:dyDescent="0.2">
      <c r="D395" s="19"/>
    </row>
    <row r="396" spans="4:4" ht="12.75" x14ac:dyDescent="0.2">
      <c r="D396" s="19"/>
    </row>
    <row r="397" spans="4:4" ht="12.75" x14ac:dyDescent="0.2">
      <c r="D397" s="19"/>
    </row>
    <row r="398" spans="4:4" ht="12.75" x14ac:dyDescent="0.2">
      <c r="D398" s="19"/>
    </row>
    <row r="399" spans="4:4" ht="12.75" x14ac:dyDescent="0.2">
      <c r="D399" s="19"/>
    </row>
    <row r="400" spans="4:4" ht="12.75" x14ac:dyDescent="0.2">
      <c r="D400" s="19"/>
    </row>
    <row r="401" spans="4:4" ht="12.75" x14ac:dyDescent="0.2">
      <c r="D401" s="19"/>
    </row>
    <row r="402" spans="4:4" ht="12.75" x14ac:dyDescent="0.2">
      <c r="D402" s="19"/>
    </row>
    <row r="403" spans="4:4" ht="12.75" x14ac:dyDescent="0.2">
      <c r="D403" s="19"/>
    </row>
    <row r="404" spans="4:4" ht="12.75" x14ac:dyDescent="0.2">
      <c r="D404" s="19"/>
    </row>
    <row r="405" spans="4:4" ht="12.75" x14ac:dyDescent="0.2">
      <c r="D405" s="19"/>
    </row>
    <row r="406" spans="4:4" ht="12.75" x14ac:dyDescent="0.2">
      <c r="D406" s="19"/>
    </row>
    <row r="407" spans="4:4" ht="12.75" x14ac:dyDescent="0.2">
      <c r="D407" s="19"/>
    </row>
    <row r="408" spans="4:4" ht="12.75" x14ac:dyDescent="0.2">
      <c r="D408" s="19"/>
    </row>
    <row r="409" spans="4:4" ht="12.75" x14ac:dyDescent="0.2">
      <c r="D409" s="19"/>
    </row>
    <row r="410" spans="4:4" ht="12.75" x14ac:dyDescent="0.2">
      <c r="D410" s="19"/>
    </row>
    <row r="411" spans="4:4" ht="12.75" x14ac:dyDescent="0.2">
      <c r="D411" s="19"/>
    </row>
    <row r="412" spans="4:4" ht="12.75" x14ac:dyDescent="0.2">
      <c r="D412" s="19"/>
    </row>
    <row r="413" spans="4:4" ht="12.75" x14ac:dyDescent="0.2">
      <c r="D413" s="19"/>
    </row>
    <row r="414" spans="4:4" ht="12.75" x14ac:dyDescent="0.2">
      <c r="D414" s="19"/>
    </row>
    <row r="415" spans="4:4" ht="12.75" x14ac:dyDescent="0.2">
      <c r="D415" s="19"/>
    </row>
    <row r="416" spans="4:4" ht="12.75" x14ac:dyDescent="0.2">
      <c r="D416" s="19"/>
    </row>
    <row r="417" spans="4:4" ht="12.75" x14ac:dyDescent="0.2">
      <c r="D417" s="19"/>
    </row>
    <row r="418" spans="4:4" ht="12.75" x14ac:dyDescent="0.2">
      <c r="D418" s="19"/>
    </row>
    <row r="419" spans="4:4" ht="12.75" x14ac:dyDescent="0.2">
      <c r="D419" s="19"/>
    </row>
    <row r="420" spans="4:4" ht="12.75" x14ac:dyDescent="0.2">
      <c r="D420" s="19"/>
    </row>
    <row r="421" spans="4:4" ht="12.75" x14ac:dyDescent="0.2">
      <c r="D421" s="19"/>
    </row>
    <row r="422" spans="4:4" ht="12.75" x14ac:dyDescent="0.2">
      <c r="D422" s="19"/>
    </row>
    <row r="423" spans="4:4" ht="12.75" x14ac:dyDescent="0.2">
      <c r="D423" s="19"/>
    </row>
    <row r="424" spans="4:4" ht="12.75" x14ac:dyDescent="0.2">
      <c r="D424" s="19"/>
    </row>
    <row r="425" spans="4:4" ht="12.75" x14ac:dyDescent="0.2">
      <c r="D425" s="19"/>
    </row>
    <row r="426" spans="4:4" ht="12.75" x14ac:dyDescent="0.2">
      <c r="D426" s="19"/>
    </row>
    <row r="427" spans="4:4" ht="12.75" x14ac:dyDescent="0.2">
      <c r="D427" s="19"/>
    </row>
    <row r="428" spans="4:4" ht="12.75" x14ac:dyDescent="0.2">
      <c r="D428" s="19"/>
    </row>
    <row r="429" spans="4:4" ht="12.75" x14ac:dyDescent="0.2">
      <c r="D429" s="19"/>
    </row>
    <row r="430" spans="4:4" ht="12.75" x14ac:dyDescent="0.2">
      <c r="D430" s="19"/>
    </row>
    <row r="431" spans="4:4" ht="12.75" x14ac:dyDescent="0.2">
      <c r="D431" s="19"/>
    </row>
    <row r="432" spans="4:4" ht="12.75" x14ac:dyDescent="0.2">
      <c r="D432" s="19"/>
    </row>
    <row r="433" spans="4:4" ht="12.75" x14ac:dyDescent="0.2">
      <c r="D433" s="19"/>
    </row>
    <row r="434" spans="4:4" ht="12.75" x14ac:dyDescent="0.2">
      <c r="D434" s="19"/>
    </row>
    <row r="435" spans="4:4" ht="12.75" x14ac:dyDescent="0.2">
      <c r="D435" s="19"/>
    </row>
    <row r="436" spans="4:4" ht="12.75" x14ac:dyDescent="0.2">
      <c r="D436" s="19"/>
    </row>
    <row r="437" spans="4:4" ht="12.75" x14ac:dyDescent="0.2">
      <c r="D437" s="19"/>
    </row>
    <row r="438" spans="4:4" ht="12.75" x14ac:dyDescent="0.2">
      <c r="D438" s="19"/>
    </row>
    <row r="439" spans="4:4" ht="12.75" x14ac:dyDescent="0.2">
      <c r="D439" s="19"/>
    </row>
    <row r="440" spans="4:4" ht="12.75" x14ac:dyDescent="0.2">
      <c r="D440" s="19"/>
    </row>
    <row r="441" spans="4:4" ht="12.75" x14ac:dyDescent="0.2">
      <c r="D441" s="19"/>
    </row>
    <row r="442" spans="4:4" ht="12.75" x14ac:dyDescent="0.2">
      <c r="D442" s="19"/>
    </row>
    <row r="443" spans="4:4" ht="12.75" x14ac:dyDescent="0.2">
      <c r="D443" s="19"/>
    </row>
    <row r="444" spans="4:4" ht="12.75" x14ac:dyDescent="0.2">
      <c r="D444" s="19"/>
    </row>
    <row r="445" spans="4:4" ht="12.75" x14ac:dyDescent="0.2">
      <c r="D445" s="19"/>
    </row>
    <row r="446" spans="4:4" ht="12.75" x14ac:dyDescent="0.2">
      <c r="D446" s="19"/>
    </row>
    <row r="447" spans="4:4" ht="12.75" x14ac:dyDescent="0.2">
      <c r="D447" s="19"/>
    </row>
    <row r="448" spans="4:4" ht="12.75" x14ac:dyDescent="0.2">
      <c r="D448" s="19"/>
    </row>
    <row r="449" spans="4:4" ht="12.75" x14ac:dyDescent="0.2">
      <c r="D449" s="19"/>
    </row>
    <row r="450" spans="4:4" ht="12.75" x14ac:dyDescent="0.2">
      <c r="D450" s="19"/>
    </row>
    <row r="451" spans="4:4" ht="12.75" x14ac:dyDescent="0.2">
      <c r="D451" s="19"/>
    </row>
    <row r="452" spans="4:4" ht="12.75" x14ac:dyDescent="0.2">
      <c r="D452" s="19"/>
    </row>
    <row r="453" spans="4:4" ht="12.75" x14ac:dyDescent="0.2">
      <c r="D453" s="19"/>
    </row>
    <row r="454" spans="4:4" ht="12.75" x14ac:dyDescent="0.2">
      <c r="D454" s="19"/>
    </row>
    <row r="455" spans="4:4" ht="12.75" x14ac:dyDescent="0.2">
      <c r="D455" s="19"/>
    </row>
    <row r="456" spans="4:4" ht="12.75" x14ac:dyDescent="0.2">
      <c r="D456" s="19"/>
    </row>
    <row r="457" spans="4:4" ht="12.75" x14ac:dyDescent="0.2">
      <c r="D457" s="19"/>
    </row>
    <row r="458" spans="4:4" ht="12.75" x14ac:dyDescent="0.2">
      <c r="D458" s="19"/>
    </row>
    <row r="459" spans="4:4" ht="12.75" x14ac:dyDescent="0.2">
      <c r="D459" s="19"/>
    </row>
    <row r="460" spans="4:4" ht="12.75" x14ac:dyDescent="0.2">
      <c r="D460" s="19"/>
    </row>
    <row r="461" spans="4:4" ht="12.75" x14ac:dyDescent="0.2">
      <c r="D461" s="19"/>
    </row>
    <row r="462" spans="4:4" ht="12.75" x14ac:dyDescent="0.2">
      <c r="D462" s="19"/>
    </row>
    <row r="463" spans="4:4" ht="12.75" x14ac:dyDescent="0.2">
      <c r="D463" s="19"/>
    </row>
    <row r="464" spans="4:4" ht="12.75" x14ac:dyDescent="0.2">
      <c r="D464" s="19"/>
    </row>
    <row r="465" spans="4:4" ht="12.75" x14ac:dyDescent="0.2">
      <c r="D465" s="19"/>
    </row>
    <row r="466" spans="4:4" ht="12.75" x14ac:dyDescent="0.2">
      <c r="D466" s="19"/>
    </row>
    <row r="467" spans="4:4" ht="12.75" x14ac:dyDescent="0.2">
      <c r="D467" s="19"/>
    </row>
    <row r="468" spans="4:4" ht="12.75" x14ac:dyDescent="0.2">
      <c r="D468" s="19"/>
    </row>
    <row r="469" spans="4:4" ht="12.75" x14ac:dyDescent="0.2">
      <c r="D469" s="19"/>
    </row>
    <row r="470" spans="4:4" ht="12.75" x14ac:dyDescent="0.2">
      <c r="D470" s="19"/>
    </row>
    <row r="471" spans="4:4" ht="12.75" x14ac:dyDescent="0.2">
      <c r="D471" s="19"/>
    </row>
    <row r="472" spans="4:4" ht="12.75" x14ac:dyDescent="0.2">
      <c r="D472" s="19"/>
    </row>
    <row r="473" spans="4:4" ht="12.75" x14ac:dyDescent="0.2">
      <c r="D473" s="19"/>
    </row>
    <row r="474" spans="4:4" ht="12.75" x14ac:dyDescent="0.2">
      <c r="D474" s="19"/>
    </row>
    <row r="475" spans="4:4" ht="12.75" x14ac:dyDescent="0.2">
      <c r="D475" s="19"/>
    </row>
    <row r="476" spans="4:4" ht="12.75" x14ac:dyDescent="0.2">
      <c r="D476" s="19"/>
    </row>
    <row r="477" spans="4:4" ht="12.75" x14ac:dyDescent="0.2">
      <c r="D477" s="19"/>
    </row>
    <row r="478" spans="4:4" ht="12.75" x14ac:dyDescent="0.2">
      <c r="D478" s="19"/>
    </row>
    <row r="479" spans="4:4" ht="12.75" x14ac:dyDescent="0.2">
      <c r="D479" s="19"/>
    </row>
    <row r="480" spans="4:4" ht="12.75" x14ac:dyDescent="0.2">
      <c r="D480" s="19"/>
    </row>
    <row r="481" spans="4:4" ht="12.75" x14ac:dyDescent="0.2">
      <c r="D481" s="19"/>
    </row>
    <row r="482" spans="4:4" ht="12.75" x14ac:dyDescent="0.2">
      <c r="D482" s="19"/>
    </row>
    <row r="483" spans="4:4" ht="12.75" x14ac:dyDescent="0.2">
      <c r="D483" s="19"/>
    </row>
    <row r="484" spans="4:4" ht="12.75" x14ac:dyDescent="0.2">
      <c r="D484" s="19"/>
    </row>
    <row r="485" spans="4:4" ht="12.75" x14ac:dyDescent="0.2">
      <c r="D485" s="19"/>
    </row>
    <row r="486" spans="4:4" ht="12.75" x14ac:dyDescent="0.2">
      <c r="D486" s="19"/>
    </row>
    <row r="487" spans="4:4" ht="12.75" x14ac:dyDescent="0.2">
      <c r="D487" s="19"/>
    </row>
    <row r="488" spans="4:4" ht="12.75" x14ac:dyDescent="0.2">
      <c r="D488" s="19"/>
    </row>
    <row r="489" spans="4:4" ht="12.75" x14ac:dyDescent="0.2">
      <c r="D489" s="19"/>
    </row>
    <row r="490" spans="4:4" ht="12.75" x14ac:dyDescent="0.2">
      <c r="D490" s="19"/>
    </row>
    <row r="491" spans="4:4" ht="12.75" x14ac:dyDescent="0.2">
      <c r="D491" s="19"/>
    </row>
    <row r="492" spans="4:4" ht="12.75" x14ac:dyDescent="0.2">
      <c r="D492" s="19"/>
    </row>
    <row r="493" spans="4:4" ht="12.75" x14ac:dyDescent="0.2">
      <c r="D493" s="19"/>
    </row>
    <row r="494" spans="4:4" ht="12.75" x14ac:dyDescent="0.2">
      <c r="D494" s="19"/>
    </row>
    <row r="495" spans="4:4" ht="12.75" x14ac:dyDescent="0.2">
      <c r="D495" s="19"/>
    </row>
    <row r="496" spans="4:4" ht="12.75" x14ac:dyDescent="0.2">
      <c r="D496" s="19"/>
    </row>
    <row r="497" spans="4:4" ht="12.75" x14ac:dyDescent="0.2">
      <c r="D497" s="19"/>
    </row>
    <row r="498" spans="4:4" ht="12.75" x14ac:dyDescent="0.2">
      <c r="D498" s="19"/>
    </row>
    <row r="499" spans="4:4" ht="12.75" x14ac:dyDescent="0.2">
      <c r="D499" s="19"/>
    </row>
    <row r="500" spans="4:4" ht="12.75" x14ac:dyDescent="0.2">
      <c r="D500" s="19"/>
    </row>
    <row r="501" spans="4:4" ht="12.75" x14ac:dyDescent="0.2">
      <c r="D501" s="19"/>
    </row>
    <row r="502" spans="4:4" ht="12.75" x14ac:dyDescent="0.2">
      <c r="D502" s="19"/>
    </row>
    <row r="503" spans="4:4" ht="12.75" x14ac:dyDescent="0.2">
      <c r="D503" s="19"/>
    </row>
    <row r="504" spans="4:4" ht="12.75" x14ac:dyDescent="0.2">
      <c r="D504" s="19"/>
    </row>
    <row r="505" spans="4:4" ht="12.75" x14ac:dyDescent="0.2">
      <c r="D505" s="19"/>
    </row>
    <row r="506" spans="4:4" ht="12.75" x14ac:dyDescent="0.2">
      <c r="D506" s="19"/>
    </row>
    <row r="507" spans="4:4" ht="12.75" x14ac:dyDescent="0.2">
      <c r="D507" s="19"/>
    </row>
    <row r="508" spans="4:4" ht="12.75" x14ac:dyDescent="0.2">
      <c r="D508" s="19"/>
    </row>
    <row r="509" spans="4:4" ht="12.75" x14ac:dyDescent="0.2">
      <c r="D509" s="19"/>
    </row>
    <row r="510" spans="4:4" ht="12.75" x14ac:dyDescent="0.2">
      <c r="D510" s="19"/>
    </row>
    <row r="511" spans="4:4" ht="12.75" x14ac:dyDescent="0.2">
      <c r="D511" s="19"/>
    </row>
    <row r="512" spans="4:4" ht="12.75" x14ac:dyDescent="0.2">
      <c r="D512" s="19"/>
    </row>
    <row r="513" spans="4:4" ht="12.75" x14ac:dyDescent="0.2">
      <c r="D513" s="19"/>
    </row>
    <row r="514" spans="4:4" ht="12.75" x14ac:dyDescent="0.2">
      <c r="D514" s="19"/>
    </row>
    <row r="515" spans="4:4" ht="12.75" x14ac:dyDescent="0.2">
      <c r="D515" s="19"/>
    </row>
    <row r="516" spans="4:4" ht="12.75" x14ac:dyDescent="0.2">
      <c r="D516" s="19"/>
    </row>
    <row r="517" spans="4:4" ht="12.75" x14ac:dyDescent="0.2">
      <c r="D517" s="19"/>
    </row>
    <row r="518" spans="4:4" ht="12.75" x14ac:dyDescent="0.2">
      <c r="D518" s="19"/>
    </row>
    <row r="519" spans="4:4" ht="12.75" x14ac:dyDescent="0.2">
      <c r="D519" s="19"/>
    </row>
    <row r="520" spans="4:4" ht="12.75" x14ac:dyDescent="0.2">
      <c r="D520" s="19"/>
    </row>
    <row r="521" spans="4:4" ht="12.75" x14ac:dyDescent="0.2">
      <c r="D521" s="19"/>
    </row>
    <row r="522" spans="4:4" ht="12.75" x14ac:dyDescent="0.2">
      <c r="D522" s="19"/>
    </row>
    <row r="523" spans="4:4" ht="12.75" x14ac:dyDescent="0.2">
      <c r="D523" s="19"/>
    </row>
    <row r="524" spans="4:4" ht="12.75" x14ac:dyDescent="0.2">
      <c r="D524" s="19"/>
    </row>
    <row r="525" spans="4:4" ht="12.75" x14ac:dyDescent="0.2">
      <c r="D525" s="19"/>
    </row>
    <row r="526" spans="4:4" ht="12.75" x14ac:dyDescent="0.2">
      <c r="D526" s="19"/>
    </row>
    <row r="527" spans="4:4" ht="12.75" x14ac:dyDescent="0.2">
      <c r="D527" s="19"/>
    </row>
    <row r="528" spans="4:4" ht="12.75" x14ac:dyDescent="0.2">
      <c r="D528" s="19"/>
    </row>
    <row r="529" spans="4:4" ht="12.75" x14ac:dyDescent="0.2">
      <c r="D529" s="19"/>
    </row>
    <row r="530" spans="4:4" ht="12.75" x14ac:dyDescent="0.2">
      <c r="D530" s="19"/>
    </row>
    <row r="531" spans="4:4" ht="12.75" x14ac:dyDescent="0.2">
      <c r="D531" s="19"/>
    </row>
    <row r="532" spans="4:4" ht="12.75" x14ac:dyDescent="0.2">
      <c r="D532" s="19"/>
    </row>
    <row r="533" spans="4:4" ht="12.75" x14ac:dyDescent="0.2">
      <c r="D533" s="19"/>
    </row>
    <row r="534" spans="4:4" ht="12.75" x14ac:dyDescent="0.2">
      <c r="D534" s="19"/>
    </row>
    <row r="535" spans="4:4" ht="12.75" x14ac:dyDescent="0.2">
      <c r="D535" s="19"/>
    </row>
    <row r="536" spans="4:4" ht="12.75" x14ac:dyDescent="0.2">
      <c r="D536" s="19"/>
    </row>
    <row r="537" spans="4:4" ht="12.75" x14ac:dyDescent="0.2">
      <c r="D537" s="19"/>
    </row>
    <row r="538" spans="4:4" ht="12.75" x14ac:dyDescent="0.2">
      <c r="D538" s="19"/>
    </row>
    <row r="539" spans="4:4" ht="12.75" x14ac:dyDescent="0.2">
      <c r="D539" s="19"/>
    </row>
    <row r="540" spans="4:4" ht="12.75" x14ac:dyDescent="0.2">
      <c r="D540" s="19"/>
    </row>
    <row r="541" spans="4:4" ht="12.75" x14ac:dyDescent="0.2">
      <c r="D541" s="19"/>
    </row>
    <row r="542" spans="4:4" ht="12.75" x14ac:dyDescent="0.2">
      <c r="D542" s="19"/>
    </row>
    <row r="543" spans="4:4" ht="12.75" x14ac:dyDescent="0.2">
      <c r="D543" s="19"/>
    </row>
    <row r="544" spans="4:4" ht="12.75" x14ac:dyDescent="0.2">
      <c r="D544" s="19"/>
    </row>
    <row r="545" spans="4:4" ht="12.75" x14ac:dyDescent="0.2">
      <c r="D545" s="19"/>
    </row>
    <row r="546" spans="4:4" ht="12.75" x14ac:dyDescent="0.2">
      <c r="D546" s="19"/>
    </row>
    <row r="547" spans="4:4" ht="12.75" x14ac:dyDescent="0.2">
      <c r="D547" s="19"/>
    </row>
    <row r="548" spans="4:4" ht="12.75" x14ac:dyDescent="0.2">
      <c r="D548" s="19"/>
    </row>
    <row r="549" spans="4:4" ht="12.75" x14ac:dyDescent="0.2">
      <c r="D549" s="19"/>
    </row>
    <row r="550" spans="4:4" ht="12.75" x14ac:dyDescent="0.2">
      <c r="D550" s="19"/>
    </row>
    <row r="551" spans="4:4" ht="12.75" x14ac:dyDescent="0.2">
      <c r="D551" s="19"/>
    </row>
    <row r="552" spans="4:4" ht="12.75" x14ac:dyDescent="0.2">
      <c r="D552" s="19"/>
    </row>
    <row r="553" spans="4:4" ht="12.75" x14ac:dyDescent="0.2">
      <c r="D553" s="19"/>
    </row>
    <row r="554" spans="4:4" ht="12.75" x14ac:dyDescent="0.2">
      <c r="D554" s="19"/>
    </row>
    <row r="555" spans="4:4" ht="12.75" x14ac:dyDescent="0.2">
      <c r="D555" s="19"/>
    </row>
    <row r="556" spans="4:4" ht="12.75" x14ac:dyDescent="0.2">
      <c r="D556" s="19"/>
    </row>
    <row r="557" spans="4:4" ht="12.75" x14ac:dyDescent="0.2">
      <c r="D557" s="19"/>
    </row>
    <row r="558" spans="4:4" ht="12.75" x14ac:dyDescent="0.2">
      <c r="D558" s="19"/>
    </row>
    <row r="559" spans="4:4" ht="12.75" x14ac:dyDescent="0.2">
      <c r="D559" s="19"/>
    </row>
    <row r="560" spans="4:4" ht="12.75" x14ac:dyDescent="0.2">
      <c r="D560" s="19"/>
    </row>
    <row r="561" spans="4:4" ht="12.75" x14ac:dyDescent="0.2">
      <c r="D561" s="19"/>
    </row>
    <row r="562" spans="4:4" ht="12.75" x14ac:dyDescent="0.2">
      <c r="D562" s="19"/>
    </row>
    <row r="563" spans="4:4" ht="12.75" x14ac:dyDescent="0.2">
      <c r="D563" s="19"/>
    </row>
    <row r="564" spans="4:4" ht="12.75" x14ac:dyDescent="0.2">
      <c r="D564" s="19"/>
    </row>
    <row r="565" spans="4:4" ht="12.75" x14ac:dyDescent="0.2">
      <c r="D565" s="19"/>
    </row>
    <row r="566" spans="4:4" ht="12.75" x14ac:dyDescent="0.2">
      <c r="D566" s="19"/>
    </row>
    <row r="567" spans="4:4" ht="12.75" x14ac:dyDescent="0.2">
      <c r="D567" s="19"/>
    </row>
    <row r="568" spans="4:4" ht="12.75" x14ac:dyDescent="0.2">
      <c r="D568" s="19"/>
    </row>
    <row r="569" spans="4:4" ht="12.75" x14ac:dyDescent="0.2">
      <c r="D569" s="19"/>
    </row>
    <row r="570" spans="4:4" ht="12.75" x14ac:dyDescent="0.2">
      <c r="D570" s="19"/>
    </row>
    <row r="571" spans="4:4" ht="12.75" x14ac:dyDescent="0.2">
      <c r="D571" s="19"/>
    </row>
    <row r="572" spans="4:4" ht="12.75" x14ac:dyDescent="0.2">
      <c r="D572" s="19"/>
    </row>
    <row r="573" spans="4:4" ht="12.75" x14ac:dyDescent="0.2">
      <c r="D573" s="19"/>
    </row>
    <row r="574" spans="4:4" ht="12.75" x14ac:dyDescent="0.2">
      <c r="D574" s="19"/>
    </row>
    <row r="575" spans="4:4" ht="12.75" x14ac:dyDescent="0.2">
      <c r="D575" s="19"/>
    </row>
    <row r="576" spans="4:4" ht="12.75" x14ac:dyDescent="0.2">
      <c r="D576" s="19"/>
    </row>
    <row r="577" spans="4:4" ht="12.75" x14ac:dyDescent="0.2">
      <c r="D577" s="19"/>
    </row>
    <row r="578" spans="4:4" ht="12.75" x14ac:dyDescent="0.2">
      <c r="D578" s="19"/>
    </row>
    <row r="579" spans="4:4" ht="12.75" x14ac:dyDescent="0.2">
      <c r="D579" s="19"/>
    </row>
    <row r="580" spans="4:4" ht="12.75" x14ac:dyDescent="0.2">
      <c r="D580" s="19"/>
    </row>
    <row r="581" spans="4:4" ht="12.75" x14ac:dyDescent="0.2">
      <c r="D581" s="19"/>
    </row>
    <row r="582" spans="4:4" ht="12.75" x14ac:dyDescent="0.2">
      <c r="D582" s="19"/>
    </row>
    <row r="583" spans="4:4" ht="12.75" x14ac:dyDescent="0.2">
      <c r="D583" s="19"/>
    </row>
    <row r="584" spans="4:4" ht="12.75" x14ac:dyDescent="0.2">
      <c r="D584" s="19"/>
    </row>
    <row r="585" spans="4:4" ht="12.75" x14ac:dyDescent="0.2">
      <c r="D585" s="19"/>
    </row>
    <row r="586" spans="4:4" ht="12.75" x14ac:dyDescent="0.2">
      <c r="D586" s="19"/>
    </row>
    <row r="587" spans="4:4" ht="12.75" x14ac:dyDescent="0.2">
      <c r="D587" s="19"/>
    </row>
    <row r="588" spans="4:4" ht="12.75" x14ac:dyDescent="0.2">
      <c r="D588" s="19"/>
    </row>
    <row r="589" spans="4:4" ht="12.75" x14ac:dyDescent="0.2">
      <c r="D589" s="19"/>
    </row>
    <row r="590" spans="4:4" ht="12.75" x14ac:dyDescent="0.2">
      <c r="D590" s="19"/>
    </row>
    <row r="591" spans="4:4" ht="12.75" x14ac:dyDescent="0.2">
      <c r="D591" s="19"/>
    </row>
    <row r="592" spans="4:4" ht="12.75" x14ac:dyDescent="0.2">
      <c r="D592" s="19"/>
    </row>
    <row r="593" spans="4:4" ht="12.75" x14ac:dyDescent="0.2">
      <c r="D593" s="19"/>
    </row>
    <row r="594" spans="4:4" ht="12.75" x14ac:dyDescent="0.2">
      <c r="D594" s="19"/>
    </row>
    <row r="595" spans="4:4" ht="12.75" x14ac:dyDescent="0.2">
      <c r="D595" s="19"/>
    </row>
    <row r="596" spans="4:4" ht="12.75" x14ac:dyDescent="0.2">
      <c r="D596" s="19"/>
    </row>
    <row r="597" spans="4:4" ht="12.75" x14ac:dyDescent="0.2">
      <c r="D597" s="19"/>
    </row>
    <row r="598" spans="4:4" ht="12.75" x14ac:dyDescent="0.2">
      <c r="D598" s="19"/>
    </row>
    <row r="599" spans="4:4" ht="12.75" x14ac:dyDescent="0.2">
      <c r="D599" s="19"/>
    </row>
    <row r="600" spans="4:4" ht="12.75" x14ac:dyDescent="0.2">
      <c r="D600" s="19"/>
    </row>
    <row r="601" spans="4:4" ht="12.75" x14ac:dyDescent="0.2">
      <c r="D601" s="19"/>
    </row>
    <row r="602" spans="4:4" ht="12.75" x14ac:dyDescent="0.2">
      <c r="D602" s="19"/>
    </row>
    <row r="603" spans="4:4" ht="12.75" x14ac:dyDescent="0.2">
      <c r="D603" s="19"/>
    </row>
    <row r="604" spans="4:4" ht="12.75" x14ac:dyDescent="0.2">
      <c r="D604" s="19"/>
    </row>
    <row r="605" spans="4:4" ht="12.75" x14ac:dyDescent="0.2">
      <c r="D605" s="19"/>
    </row>
    <row r="606" spans="4:4" ht="12.75" x14ac:dyDescent="0.2">
      <c r="D606" s="19"/>
    </row>
    <row r="607" spans="4:4" ht="12.75" x14ac:dyDescent="0.2">
      <c r="D607" s="19"/>
    </row>
    <row r="608" spans="4:4" ht="12.75" x14ac:dyDescent="0.2">
      <c r="D608" s="19"/>
    </row>
    <row r="609" spans="4:4" ht="12.75" x14ac:dyDescent="0.2">
      <c r="D609" s="19"/>
    </row>
    <row r="610" spans="4:4" ht="12.75" x14ac:dyDescent="0.2">
      <c r="D610" s="19"/>
    </row>
    <row r="611" spans="4:4" ht="12.75" x14ac:dyDescent="0.2">
      <c r="D611" s="19"/>
    </row>
    <row r="612" spans="4:4" ht="12.75" x14ac:dyDescent="0.2">
      <c r="D612" s="19"/>
    </row>
    <row r="613" spans="4:4" ht="12.75" x14ac:dyDescent="0.2">
      <c r="D613" s="19"/>
    </row>
    <row r="614" spans="4:4" ht="12.75" x14ac:dyDescent="0.2">
      <c r="D614" s="19"/>
    </row>
    <row r="615" spans="4:4" ht="12.75" x14ac:dyDescent="0.2">
      <c r="D615" s="19"/>
    </row>
    <row r="616" spans="4:4" ht="12.75" x14ac:dyDescent="0.2">
      <c r="D616" s="19"/>
    </row>
    <row r="617" spans="4:4" ht="12.75" x14ac:dyDescent="0.2">
      <c r="D617" s="19"/>
    </row>
    <row r="618" spans="4:4" ht="12.75" x14ac:dyDescent="0.2">
      <c r="D618" s="19"/>
    </row>
    <row r="619" spans="4:4" ht="12.75" x14ac:dyDescent="0.2">
      <c r="D619" s="19"/>
    </row>
    <row r="620" spans="4:4" ht="12.75" x14ac:dyDescent="0.2">
      <c r="D620" s="19"/>
    </row>
    <row r="621" spans="4:4" ht="12.75" x14ac:dyDescent="0.2">
      <c r="D621" s="19"/>
    </row>
    <row r="622" spans="4:4" ht="12.75" x14ac:dyDescent="0.2">
      <c r="D622" s="19"/>
    </row>
    <row r="623" spans="4:4" ht="12.75" x14ac:dyDescent="0.2">
      <c r="D623" s="19"/>
    </row>
    <row r="624" spans="4:4" ht="12.75" x14ac:dyDescent="0.2">
      <c r="D624" s="19"/>
    </row>
    <row r="625" spans="4:4" ht="12.75" x14ac:dyDescent="0.2">
      <c r="D625" s="19"/>
    </row>
    <row r="626" spans="4:4" ht="12.75" x14ac:dyDescent="0.2">
      <c r="D626" s="19"/>
    </row>
    <row r="627" spans="4:4" ht="12.75" x14ac:dyDescent="0.2">
      <c r="D627" s="19"/>
    </row>
    <row r="628" spans="4:4" ht="12.75" x14ac:dyDescent="0.2">
      <c r="D628" s="19"/>
    </row>
    <row r="629" spans="4:4" ht="12.75" x14ac:dyDescent="0.2">
      <c r="D629" s="19"/>
    </row>
    <row r="630" spans="4:4" ht="12.75" x14ac:dyDescent="0.2">
      <c r="D630" s="19"/>
    </row>
    <row r="631" spans="4:4" ht="12.75" x14ac:dyDescent="0.2">
      <c r="D631" s="19"/>
    </row>
    <row r="632" spans="4:4" ht="12.75" x14ac:dyDescent="0.2">
      <c r="D632" s="19"/>
    </row>
    <row r="633" spans="4:4" ht="12.75" x14ac:dyDescent="0.2">
      <c r="D633" s="19"/>
    </row>
    <row r="634" spans="4:4" ht="12.75" x14ac:dyDescent="0.2">
      <c r="D634" s="19"/>
    </row>
    <row r="635" spans="4:4" ht="12.75" x14ac:dyDescent="0.2">
      <c r="D635" s="19"/>
    </row>
    <row r="636" spans="4:4" ht="12.75" x14ac:dyDescent="0.2">
      <c r="D636" s="19"/>
    </row>
    <row r="637" spans="4:4" ht="12.75" x14ac:dyDescent="0.2">
      <c r="D637" s="19"/>
    </row>
    <row r="638" spans="4:4" ht="12.75" x14ac:dyDescent="0.2">
      <c r="D638" s="19"/>
    </row>
    <row r="639" spans="4:4" ht="12.75" x14ac:dyDescent="0.2">
      <c r="D639" s="19"/>
    </row>
    <row r="640" spans="4:4" ht="12.75" x14ac:dyDescent="0.2">
      <c r="D640" s="19"/>
    </row>
    <row r="641" spans="4:4" ht="12.75" x14ac:dyDescent="0.2">
      <c r="D641" s="19"/>
    </row>
    <row r="642" spans="4:4" ht="12.75" x14ac:dyDescent="0.2">
      <c r="D642" s="19"/>
    </row>
    <row r="643" spans="4:4" ht="12.75" x14ac:dyDescent="0.2">
      <c r="D643" s="19"/>
    </row>
    <row r="644" spans="4:4" ht="12.75" x14ac:dyDescent="0.2">
      <c r="D644" s="19"/>
    </row>
    <row r="645" spans="4:4" ht="12.75" x14ac:dyDescent="0.2">
      <c r="D645" s="19"/>
    </row>
    <row r="646" spans="4:4" ht="12.75" x14ac:dyDescent="0.2">
      <c r="D646" s="19"/>
    </row>
    <row r="647" spans="4:4" ht="12.75" x14ac:dyDescent="0.2">
      <c r="D647" s="19"/>
    </row>
    <row r="648" spans="4:4" ht="12.75" x14ac:dyDescent="0.2">
      <c r="D648" s="19"/>
    </row>
    <row r="649" spans="4:4" ht="12.75" x14ac:dyDescent="0.2">
      <c r="D649" s="19"/>
    </row>
    <row r="650" spans="4:4" ht="12.75" x14ac:dyDescent="0.2">
      <c r="D650" s="19"/>
    </row>
    <row r="651" spans="4:4" ht="12.75" x14ac:dyDescent="0.2">
      <c r="D651" s="19"/>
    </row>
    <row r="652" spans="4:4" ht="12.75" x14ac:dyDescent="0.2">
      <c r="D652" s="19"/>
    </row>
    <row r="653" spans="4:4" ht="12.75" x14ac:dyDescent="0.2">
      <c r="D653" s="19"/>
    </row>
    <row r="654" spans="4:4" ht="12.75" x14ac:dyDescent="0.2">
      <c r="D654" s="19"/>
    </row>
    <row r="655" spans="4:4" ht="12.75" x14ac:dyDescent="0.2">
      <c r="D655" s="19"/>
    </row>
    <row r="656" spans="4:4" ht="12.75" x14ac:dyDescent="0.2">
      <c r="D656" s="19"/>
    </row>
    <row r="657" spans="4:4" ht="12.75" x14ac:dyDescent="0.2">
      <c r="D657" s="19"/>
    </row>
    <row r="658" spans="4:4" ht="12.75" x14ac:dyDescent="0.2">
      <c r="D658" s="19"/>
    </row>
    <row r="659" spans="4:4" ht="12.75" x14ac:dyDescent="0.2">
      <c r="D659" s="19"/>
    </row>
    <row r="660" spans="4:4" ht="12.75" x14ac:dyDescent="0.2">
      <c r="D660" s="19"/>
    </row>
    <row r="661" spans="4:4" ht="12.75" x14ac:dyDescent="0.2">
      <c r="D661" s="19"/>
    </row>
    <row r="662" spans="4:4" ht="12.75" x14ac:dyDescent="0.2">
      <c r="D662" s="19"/>
    </row>
    <row r="663" spans="4:4" ht="12.75" x14ac:dyDescent="0.2">
      <c r="D663" s="19"/>
    </row>
    <row r="664" spans="4:4" ht="12.75" x14ac:dyDescent="0.2">
      <c r="D664" s="19"/>
    </row>
    <row r="665" spans="4:4" ht="12.75" x14ac:dyDescent="0.2">
      <c r="D665" s="19"/>
    </row>
    <row r="666" spans="4:4" ht="12.75" x14ac:dyDescent="0.2">
      <c r="D666" s="19"/>
    </row>
    <row r="667" spans="4:4" ht="12.75" x14ac:dyDescent="0.2">
      <c r="D667" s="19"/>
    </row>
    <row r="668" spans="4:4" ht="12.75" x14ac:dyDescent="0.2">
      <c r="D668" s="19"/>
    </row>
    <row r="669" spans="4:4" ht="12.75" x14ac:dyDescent="0.2">
      <c r="D669" s="19"/>
    </row>
    <row r="670" spans="4:4" ht="12.75" x14ac:dyDescent="0.2">
      <c r="D670" s="19"/>
    </row>
    <row r="671" spans="4:4" ht="12.75" x14ac:dyDescent="0.2">
      <c r="D671" s="19"/>
    </row>
    <row r="672" spans="4:4" ht="12.75" x14ac:dyDescent="0.2">
      <c r="D672" s="19"/>
    </row>
    <row r="673" spans="4:4" ht="12.75" x14ac:dyDescent="0.2">
      <c r="D673" s="19"/>
    </row>
    <row r="674" spans="4:4" ht="12.75" x14ac:dyDescent="0.2">
      <c r="D674" s="19"/>
    </row>
    <row r="675" spans="4:4" ht="12.75" x14ac:dyDescent="0.2">
      <c r="D675" s="19"/>
    </row>
    <row r="676" spans="4:4" ht="12.75" x14ac:dyDescent="0.2">
      <c r="D676" s="19"/>
    </row>
    <row r="677" spans="4:4" ht="12.75" x14ac:dyDescent="0.2">
      <c r="D677" s="19"/>
    </row>
    <row r="678" spans="4:4" ht="12.75" x14ac:dyDescent="0.2">
      <c r="D678" s="19"/>
    </row>
    <row r="679" spans="4:4" ht="12.75" x14ac:dyDescent="0.2">
      <c r="D679" s="19"/>
    </row>
    <row r="680" spans="4:4" ht="12.75" x14ac:dyDescent="0.2">
      <c r="D680" s="19"/>
    </row>
    <row r="681" spans="4:4" ht="12.75" x14ac:dyDescent="0.2">
      <c r="D681" s="19"/>
    </row>
    <row r="682" spans="4:4" ht="12.75" x14ac:dyDescent="0.2">
      <c r="D682" s="19"/>
    </row>
    <row r="683" spans="4:4" ht="12.75" x14ac:dyDescent="0.2">
      <c r="D683" s="19"/>
    </row>
    <row r="684" spans="4:4" ht="12.75" x14ac:dyDescent="0.2">
      <c r="D684" s="19"/>
    </row>
    <row r="685" spans="4:4" ht="12.75" x14ac:dyDescent="0.2">
      <c r="D685" s="19"/>
    </row>
    <row r="686" spans="4:4" ht="12.75" x14ac:dyDescent="0.2">
      <c r="D686" s="19"/>
    </row>
    <row r="687" spans="4:4" ht="12.75" x14ac:dyDescent="0.2">
      <c r="D687" s="19"/>
    </row>
    <row r="688" spans="4:4" ht="12.75" x14ac:dyDescent="0.2">
      <c r="D688" s="19"/>
    </row>
    <row r="689" spans="4:4" ht="12.75" x14ac:dyDescent="0.2">
      <c r="D689" s="19"/>
    </row>
    <row r="690" spans="4:4" ht="12.75" x14ac:dyDescent="0.2">
      <c r="D690" s="19"/>
    </row>
    <row r="691" spans="4:4" ht="12.75" x14ac:dyDescent="0.2">
      <c r="D691" s="19"/>
    </row>
    <row r="692" spans="4:4" ht="12.75" x14ac:dyDescent="0.2">
      <c r="D692" s="19"/>
    </row>
    <row r="693" spans="4:4" ht="12.75" x14ac:dyDescent="0.2">
      <c r="D693" s="19"/>
    </row>
    <row r="694" spans="4:4" ht="12.75" x14ac:dyDescent="0.2">
      <c r="D694" s="19"/>
    </row>
    <row r="695" spans="4:4" ht="12.75" x14ac:dyDescent="0.2">
      <c r="D695" s="19"/>
    </row>
    <row r="696" spans="4:4" ht="12.75" x14ac:dyDescent="0.2">
      <c r="D696" s="19"/>
    </row>
    <row r="697" spans="4:4" ht="12.75" x14ac:dyDescent="0.2">
      <c r="D697" s="19"/>
    </row>
    <row r="698" spans="4:4" ht="12.75" x14ac:dyDescent="0.2">
      <c r="D698" s="19"/>
    </row>
    <row r="699" spans="4:4" ht="12.75" x14ac:dyDescent="0.2">
      <c r="D699" s="19"/>
    </row>
    <row r="700" spans="4:4" ht="12.75" x14ac:dyDescent="0.2">
      <c r="D700" s="19"/>
    </row>
    <row r="701" spans="4:4" ht="12.75" x14ac:dyDescent="0.2">
      <c r="D701" s="19"/>
    </row>
    <row r="702" spans="4:4" ht="12.75" x14ac:dyDescent="0.2">
      <c r="D702" s="19"/>
    </row>
    <row r="703" spans="4:4" ht="12.75" x14ac:dyDescent="0.2">
      <c r="D703" s="19"/>
    </row>
    <row r="704" spans="4:4" ht="12.75" x14ac:dyDescent="0.2">
      <c r="D704" s="19"/>
    </row>
    <row r="705" spans="4:4" ht="12.75" x14ac:dyDescent="0.2">
      <c r="D705" s="19"/>
    </row>
    <row r="706" spans="4:4" ht="12.75" x14ac:dyDescent="0.2">
      <c r="D706" s="19"/>
    </row>
    <row r="707" spans="4:4" ht="12.75" x14ac:dyDescent="0.2">
      <c r="D707" s="19"/>
    </row>
    <row r="708" spans="4:4" ht="12.75" x14ac:dyDescent="0.2">
      <c r="D708" s="19"/>
    </row>
    <row r="709" spans="4:4" ht="12.75" x14ac:dyDescent="0.2">
      <c r="D709" s="19"/>
    </row>
    <row r="710" spans="4:4" ht="12.75" x14ac:dyDescent="0.2">
      <c r="D710" s="19"/>
    </row>
    <row r="711" spans="4:4" ht="12.75" x14ac:dyDescent="0.2">
      <c r="D711" s="19"/>
    </row>
    <row r="712" spans="4:4" ht="12.75" x14ac:dyDescent="0.2">
      <c r="D712" s="19"/>
    </row>
    <row r="713" spans="4:4" ht="12.75" x14ac:dyDescent="0.2">
      <c r="D713" s="19"/>
    </row>
    <row r="714" spans="4:4" ht="12.75" x14ac:dyDescent="0.2">
      <c r="D714" s="19"/>
    </row>
    <row r="715" spans="4:4" ht="12.75" x14ac:dyDescent="0.2">
      <c r="D715" s="19"/>
    </row>
    <row r="716" spans="4:4" ht="12.75" x14ac:dyDescent="0.2">
      <c r="D716" s="19"/>
    </row>
    <row r="717" spans="4:4" ht="12.75" x14ac:dyDescent="0.2">
      <c r="D717" s="19"/>
    </row>
    <row r="718" spans="4:4" ht="12.75" x14ac:dyDescent="0.2">
      <c r="D718" s="19"/>
    </row>
    <row r="719" spans="4:4" ht="12.75" x14ac:dyDescent="0.2">
      <c r="D719" s="19"/>
    </row>
    <row r="720" spans="4:4" ht="12.75" x14ac:dyDescent="0.2">
      <c r="D720" s="19"/>
    </row>
    <row r="721" spans="4:4" ht="12.75" x14ac:dyDescent="0.2">
      <c r="D721" s="19"/>
    </row>
    <row r="722" spans="4:4" ht="12.75" x14ac:dyDescent="0.2">
      <c r="D722" s="19"/>
    </row>
    <row r="723" spans="4:4" ht="12.75" x14ac:dyDescent="0.2">
      <c r="D723" s="19"/>
    </row>
    <row r="724" spans="4:4" ht="12.75" x14ac:dyDescent="0.2">
      <c r="D724" s="19"/>
    </row>
    <row r="725" spans="4:4" ht="12.75" x14ac:dyDescent="0.2">
      <c r="D725" s="19"/>
    </row>
    <row r="726" spans="4:4" ht="12.75" x14ac:dyDescent="0.2">
      <c r="D726" s="19"/>
    </row>
    <row r="727" spans="4:4" ht="12.75" x14ac:dyDescent="0.2">
      <c r="D727" s="19"/>
    </row>
    <row r="728" spans="4:4" ht="12.75" x14ac:dyDescent="0.2">
      <c r="D728" s="19"/>
    </row>
    <row r="729" spans="4:4" ht="12.75" x14ac:dyDescent="0.2">
      <c r="D729" s="19"/>
    </row>
    <row r="730" spans="4:4" ht="12.75" x14ac:dyDescent="0.2">
      <c r="D730" s="19"/>
    </row>
    <row r="731" spans="4:4" ht="12.75" x14ac:dyDescent="0.2">
      <c r="D731" s="19"/>
    </row>
    <row r="732" spans="4:4" ht="12.75" x14ac:dyDescent="0.2">
      <c r="D732" s="19"/>
    </row>
    <row r="733" spans="4:4" ht="12.75" x14ac:dyDescent="0.2">
      <c r="D733" s="19"/>
    </row>
    <row r="734" spans="4:4" ht="12.75" x14ac:dyDescent="0.2">
      <c r="D734" s="19"/>
    </row>
    <row r="735" spans="4:4" ht="12.75" x14ac:dyDescent="0.2">
      <c r="D735" s="19"/>
    </row>
    <row r="736" spans="4:4" ht="12.75" x14ac:dyDescent="0.2">
      <c r="D736" s="19"/>
    </row>
    <row r="737" spans="4:4" ht="12.75" x14ac:dyDescent="0.2">
      <c r="D737" s="19"/>
    </row>
    <row r="738" spans="4:4" ht="12.75" x14ac:dyDescent="0.2">
      <c r="D738" s="19"/>
    </row>
    <row r="739" spans="4:4" ht="12.75" x14ac:dyDescent="0.2">
      <c r="D739" s="19"/>
    </row>
    <row r="740" spans="4:4" ht="12.75" x14ac:dyDescent="0.2">
      <c r="D740" s="19"/>
    </row>
    <row r="741" spans="4:4" ht="12.75" x14ac:dyDescent="0.2">
      <c r="D741" s="19"/>
    </row>
    <row r="742" spans="4:4" ht="12.75" x14ac:dyDescent="0.2">
      <c r="D742" s="19"/>
    </row>
    <row r="743" spans="4:4" ht="12.75" x14ac:dyDescent="0.2">
      <c r="D743" s="19"/>
    </row>
    <row r="744" spans="4:4" ht="12.75" x14ac:dyDescent="0.2">
      <c r="D744" s="19"/>
    </row>
    <row r="745" spans="4:4" ht="12.75" x14ac:dyDescent="0.2">
      <c r="D745" s="19"/>
    </row>
    <row r="746" spans="4:4" ht="12.75" x14ac:dyDescent="0.2">
      <c r="D746" s="19"/>
    </row>
    <row r="747" spans="4:4" ht="12.75" x14ac:dyDescent="0.2">
      <c r="D747" s="19"/>
    </row>
    <row r="748" spans="4:4" ht="12.75" x14ac:dyDescent="0.2">
      <c r="D748" s="19"/>
    </row>
    <row r="749" spans="4:4" ht="12.75" x14ac:dyDescent="0.2">
      <c r="D749" s="19"/>
    </row>
    <row r="750" spans="4:4" ht="12.75" x14ac:dyDescent="0.2">
      <c r="D750" s="19"/>
    </row>
    <row r="751" spans="4:4" ht="12.75" x14ac:dyDescent="0.2">
      <c r="D751" s="19"/>
    </row>
    <row r="752" spans="4:4" ht="12.75" x14ac:dyDescent="0.2">
      <c r="D752" s="19"/>
    </row>
    <row r="753" spans="4:4" ht="12.75" x14ac:dyDescent="0.2">
      <c r="D753" s="19"/>
    </row>
    <row r="754" spans="4:4" ht="12.75" x14ac:dyDescent="0.2">
      <c r="D754" s="19"/>
    </row>
    <row r="755" spans="4:4" ht="12.75" x14ac:dyDescent="0.2">
      <c r="D755" s="19"/>
    </row>
    <row r="756" spans="4:4" ht="12.75" x14ac:dyDescent="0.2">
      <c r="D756" s="19"/>
    </row>
    <row r="757" spans="4:4" ht="12.75" x14ac:dyDescent="0.2">
      <c r="D757" s="19"/>
    </row>
    <row r="758" spans="4:4" ht="12.75" x14ac:dyDescent="0.2">
      <c r="D758" s="19"/>
    </row>
    <row r="759" spans="4:4" ht="12.75" x14ac:dyDescent="0.2">
      <c r="D759" s="19"/>
    </row>
    <row r="760" spans="4:4" ht="12.75" x14ac:dyDescent="0.2">
      <c r="D760" s="19"/>
    </row>
    <row r="761" spans="4:4" ht="12.75" x14ac:dyDescent="0.2">
      <c r="D761" s="19"/>
    </row>
    <row r="762" spans="4:4" ht="12.75" x14ac:dyDescent="0.2">
      <c r="D762" s="19"/>
    </row>
    <row r="763" spans="4:4" ht="12.75" x14ac:dyDescent="0.2">
      <c r="D763" s="19"/>
    </row>
    <row r="764" spans="4:4" ht="12.75" x14ac:dyDescent="0.2">
      <c r="D764" s="19"/>
    </row>
    <row r="765" spans="4:4" ht="12.75" x14ac:dyDescent="0.2">
      <c r="D765" s="19"/>
    </row>
    <row r="766" spans="4:4" ht="12.75" x14ac:dyDescent="0.2">
      <c r="D766" s="19"/>
    </row>
    <row r="767" spans="4:4" ht="12.75" x14ac:dyDescent="0.2">
      <c r="D767" s="19"/>
    </row>
    <row r="768" spans="4:4" ht="12.75" x14ac:dyDescent="0.2">
      <c r="D768" s="19"/>
    </row>
    <row r="769" spans="4:4" ht="12.75" x14ac:dyDescent="0.2">
      <c r="D769" s="19"/>
    </row>
    <row r="770" spans="4:4" ht="12.75" x14ac:dyDescent="0.2">
      <c r="D770" s="19"/>
    </row>
    <row r="771" spans="4:4" ht="12.75" x14ac:dyDescent="0.2">
      <c r="D771" s="19"/>
    </row>
    <row r="772" spans="4:4" ht="12.75" x14ac:dyDescent="0.2">
      <c r="D772" s="19"/>
    </row>
    <row r="773" spans="4:4" ht="12.75" x14ac:dyDescent="0.2">
      <c r="D773" s="19"/>
    </row>
    <row r="774" spans="4:4" ht="12.75" x14ac:dyDescent="0.2">
      <c r="D774" s="19"/>
    </row>
    <row r="775" spans="4:4" ht="12.75" x14ac:dyDescent="0.2">
      <c r="D775" s="19"/>
    </row>
    <row r="776" spans="4:4" ht="12.75" x14ac:dyDescent="0.2">
      <c r="D776" s="19"/>
    </row>
    <row r="777" spans="4:4" ht="12.75" x14ac:dyDescent="0.2">
      <c r="D777" s="19"/>
    </row>
    <row r="778" spans="4:4" ht="12.75" x14ac:dyDescent="0.2">
      <c r="D778" s="19"/>
    </row>
    <row r="779" spans="4:4" ht="12.75" x14ac:dyDescent="0.2">
      <c r="D779" s="19"/>
    </row>
    <row r="780" spans="4:4" ht="12.75" x14ac:dyDescent="0.2">
      <c r="D780" s="19"/>
    </row>
    <row r="781" spans="4:4" ht="12.75" x14ac:dyDescent="0.2">
      <c r="D781" s="19"/>
    </row>
    <row r="782" spans="4:4" ht="12.75" x14ac:dyDescent="0.2">
      <c r="D782" s="19"/>
    </row>
    <row r="783" spans="4:4" ht="12.75" x14ac:dyDescent="0.2">
      <c r="D783" s="19"/>
    </row>
    <row r="784" spans="4:4" ht="12.75" x14ac:dyDescent="0.2">
      <c r="D784" s="19"/>
    </row>
    <row r="785" spans="4:4" ht="12.75" x14ac:dyDescent="0.2">
      <c r="D785" s="19"/>
    </row>
    <row r="786" spans="4:4" ht="12.75" x14ac:dyDescent="0.2">
      <c r="D786" s="19"/>
    </row>
    <row r="787" spans="4:4" ht="12.75" x14ac:dyDescent="0.2">
      <c r="D787" s="19"/>
    </row>
    <row r="788" spans="4:4" ht="12.75" x14ac:dyDescent="0.2">
      <c r="D788" s="19"/>
    </row>
    <row r="789" spans="4:4" ht="12.75" x14ac:dyDescent="0.2">
      <c r="D789" s="19"/>
    </row>
    <row r="790" spans="4:4" ht="12.75" x14ac:dyDescent="0.2">
      <c r="D790" s="19"/>
    </row>
    <row r="791" spans="4:4" ht="12.75" x14ac:dyDescent="0.2">
      <c r="D791" s="19"/>
    </row>
    <row r="792" spans="4:4" ht="12.75" x14ac:dyDescent="0.2">
      <c r="D792" s="19"/>
    </row>
    <row r="793" spans="4:4" ht="12.75" x14ac:dyDescent="0.2">
      <c r="D793" s="19"/>
    </row>
    <row r="794" spans="4:4" ht="12.75" x14ac:dyDescent="0.2">
      <c r="D794" s="19"/>
    </row>
    <row r="795" spans="4:4" ht="12.75" x14ac:dyDescent="0.2">
      <c r="D795" s="19"/>
    </row>
    <row r="796" spans="4:4" ht="12.75" x14ac:dyDescent="0.2">
      <c r="D796" s="19"/>
    </row>
    <row r="797" spans="4:4" ht="12.75" x14ac:dyDescent="0.2">
      <c r="D797" s="19"/>
    </row>
    <row r="798" spans="4:4" ht="12.75" x14ac:dyDescent="0.2">
      <c r="D798" s="19"/>
    </row>
    <row r="799" spans="4:4" ht="12.75" x14ac:dyDescent="0.2">
      <c r="D799" s="19"/>
    </row>
    <row r="800" spans="4:4" ht="12.75" x14ac:dyDescent="0.2">
      <c r="D800" s="19"/>
    </row>
    <row r="801" spans="4:4" ht="12.75" x14ac:dyDescent="0.2">
      <c r="D801" s="19"/>
    </row>
    <row r="802" spans="4:4" ht="12.75" x14ac:dyDescent="0.2">
      <c r="D802" s="19"/>
    </row>
    <row r="803" spans="4:4" ht="12.75" x14ac:dyDescent="0.2">
      <c r="D803" s="19"/>
    </row>
    <row r="804" spans="4:4" ht="12.75" x14ac:dyDescent="0.2">
      <c r="D804" s="19"/>
    </row>
    <row r="805" spans="4:4" ht="12.75" x14ac:dyDescent="0.2">
      <c r="D805" s="19"/>
    </row>
    <row r="806" spans="4:4" ht="12.75" x14ac:dyDescent="0.2">
      <c r="D806" s="19"/>
    </row>
    <row r="807" spans="4:4" ht="12.75" x14ac:dyDescent="0.2">
      <c r="D807" s="19"/>
    </row>
    <row r="808" spans="4:4" ht="12.75" x14ac:dyDescent="0.2">
      <c r="D808" s="19"/>
    </row>
    <row r="809" spans="4:4" ht="12.75" x14ac:dyDescent="0.2">
      <c r="D809" s="19"/>
    </row>
    <row r="810" spans="4:4" ht="12.75" x14ac:dyDescent="0.2">
      <c r="D810" s="19"/>
    </row>
    <row r="811" spans="4:4" ht="12.75" x14ac:dyDescent="0.2">
      <c r="D811" s="19"/>
    </row>
    <row r="812" spans="4:4" ht="12.75" x14ac:dyDescent="0.2">
      <c r="D812" s="19"/>
    </row>
    <row r="813" spans="4:4" ht="12.75" x14ac:dyDescent="0.2">
      <c r="D813" s="19"/>
    </row>
    <row r="814" spans="4:4" ht="12.75" x14ac:dyDescent="0.2">
      <c r="D814" s="19"/>
    </row>
    <row r="815" spans="4:4" ht="12.75" x14ac:dyDescent="0.2">
      <c r="D815" s="19"/>
    </row>
    <row r="816" spans="4:4" ht="12.75" x14ac:dyDescent="0.2">
      <c r="D816" s="19"/>
    </row>
    <row r="817" spans="4:4" ht="12.75" x14ac:dyDescent="0.2">
      <c r="D817" s="19"/>
    </row>
    <row r="818" spans="4:4" ht="12.75" x14ac:dyDescent="0.2">
      <c r="D818" s="19"/>
    </row>
    <row r="819" spans="4:4" ht="12.75" x14ac:dyDescent="0.2">
      <c r="D819" s="19"/>
    </row>
    <row r="820" spans="4:4" ht="12.75" x14ac:dyDescent="0.2">
      <c r="D820" s="19"/>
    </row>
    <row r="821" spans="4:4" ht="12.75" x14ac:dyDescent="0.2">
      <c r="D821" s="19"/>
    </row>
    <row r="822" spans="4:4" ht="12.75" x14ac:dyDescent="0.2">
      <c r="D822" s="19"/>
    </row>
    <row r="823" spans="4:4" ht="12.75" x14ac:dyDescent="0.2">
      <c r="D823" s="19"/>
    </row>
    <row r="824" spans="4:4" ht="12.75" x14ac:dyDescent="0.2">
      <c r="D824" s="19"/>
    </row>
    <row r="825" spans="4:4" ht="12.75" x14ac:dyDescent="0.2">
      <c r="D825" s="19"/>
    </row>
    <row r="826" spans="4:4" ht="12.75" x14ac:dyDescent="0.2">
      <c r="D826" s="19"/>
    </row>
    <row r="827" spans="4:4" ht="12.75" x14ac:dyDescent="0.2">
      <c r="D827" s="19"/>
    </row>
    <row r="828" spans="4:4" ht="12.75" x14ac:dyDescent="0.2">
      <c r="D828" s="19"/>
    </row>
    <row r="829" spans="4:4" ht="12.75" x14ac:dyDescent="0.2">
      <c r="D829" s="19"/>
    </row>
    <row r="830" spans="4:4" ht="12.75" x14ac:dyDescent="0.2">
      <c r="D830" s="19"/>
    </row>
    <row r="831" spans="4:4" ht="12.75" x14ac:dyDescent="0.2">
      <c r="D831" s="19"/>
    </row>
    <row r="832" spans="4:4" ht="12.75" x14ac:dyDescent="0.2">
      <c r="D832" s="19"/>
    </row>
    <row r="833" spans="4:4" ht="12.75" x14ac:dyDescent="0.2">
      <c r="D833" s="19"/>
    </row>
    <row r="834" spans="4:4" ht="12.75" x14ac:dyDescent="0.2">
      <c r="D834" s="19"/>
    </row>
    <row r="835" spans="4:4" ht="12.75" x14ac:dyDescent="0.2">
      <c r="D835" s="19"/>
    </row>
    <row r="836" spans="4:4" ht="12.75" x14ac:dyDescent="0.2">
      <c r="D836" s="19"/>
    </row>
    <row r="837" spans="4:4" ht="12.75" x14ac:dyDescent="0.2">
      <c r="D837" s="19"/>
    </row>
    <row r="838" spans="4:4" ht="12.75" x14ac:dyDescent="0.2">
      <c r="D838" s="19"/>
    </row>
    <row r="839" spans="4:4" ht="12.75" x14ac:dyDescent="0.2">
      <c r="D839" s="19"/>
    </row>
    <row r="840" spans="4:4" ht="12.75" x14ac:dyDescent="0.2">
      <c r="D840" s="19"/>
    </row>
    <row r="841" spans="4:4" ht="12.75" x14ac:dyDescent="0.2">
      <c r="D841" s="19"/>
    </row>
    <row r="842" spans="4:4" ht="12.75" x14ac:dyDescent="0.2">
      <c r="D842" s="19"/>
    </row>
    <row r="843" spans="4:4" ht="12.75" x14ac:dyDescent="0.2">
      <c r="D843" s="19"/>
    </row>
    <row r="844" spans="4:4" ht="12.75" x14ac:dyDescent="0.2">
      <c r="D844" s="19"/>
    </row>
    <row r="845" spans="4:4" ht="12.75" x14ac:dyDescent="0.2">
      <c r="D845" s="19"/>
    </row>
    <row r="846" spans="4:4" ht="12.75" x14ac:dyDescent="0.2">
      <c r="D846" s="19"/>
    </row>
    <row r="847" spans="4:4" ht="12.75" x14ac:dyDescent="0.2">
      <c r="D847" s="19"/>
    </row>
    <row r="848" spans="4:4" ht="12.75" x14ac:dyDescent="0.2">
      <c r="D848" s="19"/>
    </row>
    <row r="849" spans="4:4" ht="12.75" x14ac:dyDescent="0.2">
      <c r="D849" s="19"/>
    </row>
    <row r="850" spans="4:4" ht="12.75" x14ac:dyDescent="0.2">
      <c r="D850" s="19"/>
    </row>
    <row r="851" spans="4:4" ht="12.75" x14ac:dyDescent="0.2">
      <c r="D851" s="19"/>
    </row>
    <row r="852" spans="4:4" ht="12.75" x14ac:dyDescent="0.2">
      <c r="D852" s="19"/>
    </row>
    <row r="853" spans="4:4" ht="12.75" x14ac:dyDescent="0.2">
      <c r="D853" s="19"/>
    </row>
    <row r="854" spans="4:4" ht="12.75" x14ac:dyDescent="0.2">
      <c r="D854" s="19"/>
    </row>
    <row r="855" spans="4:4" ht="12.75" x14ac:dyDescent="0.2">
      <c r="D855" s="19"/>
    </row>
    <row r="856" spans="4:4" ht="12.75" x14ac:dyDescent="0.2">
      <c r="D856" s="19"/>
    </row>
    <row r="857" spans="4:4" ht="12.75" x14ac:dyDescent="0.2">
      <c r="D857" s="19"/>
    </row>
    <row r="858" spans="4:4" ht="12.75" x14ac:dyDescent="0.2">
      <c r="D858" s="19"/>
    </row>
    <row r="859" spans="4:4" ht="12.75" x14ac:dyDescent="0.2">
      <c r="D859" s="19"/>
    </row>
    <row r="860" spans="4:4" ht="12.75" x14ac:dyDescent="0.2">
      <c r="D860" s="19"/>
    </row>
    <row r="861" spans="4:4" ht="12.75" x14ac:dyDescent="0.2">
      <c r="D861" s="19"/>
    </row>
    <row r="862" spans="4:4" ht="12.75" x14ac:dyDescent="0.2">
      <c r="D862" s="19"/>
    </row>
    <row r="863" spans="4:4" ht="12.75" x14ac:dyDescent="0.2">
      <c r="D863" s="19"/>
    </row>
    <row r="864" spans="4:4" ht="12.75" x14ac:dyDescent="0.2">
      <c r="D864" s="19"/>
    </row>
    <row r="865" spans="4:4" ht="12.75" x14ac:dyDescent="0.2">
      <c r="D865" s="19"/>
    </row>
    <row r="866" spans="4:4" ht="12.75" x14ac:dyDescent="0.2">
      <c r="D866" s="19"/>
    </row>
    <row r="867" spans="4:4" ht="12.75" x14ac:dyDescent="0.2">
      <c r="D867" s="19"/>
    </row>
    <row r="868" spans="4:4" ht="12.75" x14ac:dyDescent="0.2">
      <c r="D868" s="19"/>
    </row>
    <row r="869" spans="4:4" ht="12.75" x14ac:dyDescent="0.2">
      <c r="D869" s="19"/>
    </row>
    <row r="870" spans="4:4" ht="12.75" x14ac:dyDescent="0.2">
      <c r="D870" s="19"/>
    </row>
    <row r="871" spans="4:4" ht="12.75" x14ac:dyDescent="0.2">
      <c r="D871" s="19"/>
    </row>
    <row r="872" spans="4:4" ht="12.75" x14ac:dyDescent="0.2">
      <c r="D872" s="19"/>
    </row>
    <row r="873" spans="4:4" ht="12.75" x14ac:dyDescent="0.2">
      <c r="D873" s="19"/>
    </row>
    <row r="874" spans="4:4" ht="12.75" x14ac:dyDescent="0.2">
      <c r="D874" s="19"/>
    </row>
    <row r="875" spans="4:4" ht="12.75" x14ac:dyDescent="0.2">
      <c r="D875" s="19"/>
    </row>
    <row r="876" spans="4:4" ht="12.75" x14ac:dyDescent="0.2">
      <c r="D876" s="19"/>
    </row>
    <row r="877" spans="4:4" ht="12.75" x14ac:dyDescent="0.2">
      <c r="D877" s="19"/>
    </row>
    <row r="878" spans="4:4" ht="12.75" x14ac:dyDescent="0.2">
      <c r="D878" s="19"/>
    </row>
    <row r="879" spans="4:4" ht="12.75" x14ac:dyDescent="0.2">
      <c r="D879" s="19"/>
    </row>
    <row r="880" spans="4:4" ht="12.75" x14ac:dyDescent="0.2">
      <c r="D880" s="19"/>
    </row>
    <row r="881" spans="4:4" ht="12.75" x14ac:dyDescent="0.2">
      <c r="D881" s="19"/>
    </row>
    <row r="882" spans="4:4" ht="12.75" x14ac:dyDescent="0.2">
      <c r="D882" s="19"/>
    </row>
    <row r="883" spans="4:4" ht="12.75" x14ac:dyDescent="0.2">
      <c r="D883" s="19"/>
    </row>
    <row r="884" spans="4:4" ht="12.75" x14ac:dyDescent="0.2">
      <c r="D884" s="19"/>
    </row>
    <row r="885" spans="4:4" ht="12.75" x14ac:dyDescent="0.2">
      <c r="D885" s="19"/>
    </row>
    <row r="886" spans="4:4" ht="12.75" x14ac:dyDescent="0.2">
      <c r="D886" s="19"/>
    </row>
    <row r="887" spans="4:4" ht="12.75" x14ac:dyDescent="0.2">
      <c r="D887" s="19"/>
    </row>
    <row r="888" spans="4:4" ht="12.75" x14ac:dyDescent="0.2">
      <c r="D888" s="19"/>
    </row>
    <row r="889" spans="4:4" ht="12.75" x14ac:dyDescent="0.2">
      <c r="D889" s="19"/>
    </row>
    <row r="890" spans="4:4" ht="12.75" x14ac:dyDescent="0.2">
      <c r="D890" s="19"/>
    </row>
    <row r="891" spans="4:4" ht="12.75" x14ac:dyDescent="0.2">
      <c r="D891" s="19"/>
    </row>
    <row r="892" spans="4:4" ht="12.75" x14ac:dyDescent="0.2">
      <c r="D892" s="19"/>
    </row>
    <row r="893" spans="4:4" ht="12.75" x14ac:dyDescent="0.2">
      <c r="D893" s="19"/>
    </row>
    <row r="894" spans="4:4" ht="12.75" x14ac:dyDescent="0.2">
      <c r="D894" s="19"/>
    </row>
    <row r="895" spans="4:4" ht="12.75" x14ac:dyDescent="0.2">
      <c r="D895" s="19"/>
    </row>
    <row r="896" spans="4:4" ht="12.75" x14ac:dyDescent="0.2">
      <c r="D896" s="19"/>
    </row>
    <row r="897" spans="4:4" ht="12.75" x14ac:dyDescent="0.2">
      <c r="D897" s="19"/>
    </row>
    <row r="898" spans="4:4" ht="12.75" x14ac:dyDescent="0.2">
      <c r="D898" s="19"/>
    </row>
    <row r="899" spans="4:4" ht="12.75" x14ac:dyDescent="0.2">
      <c r="D899" s="19"/>
    </row>
    <row r="900" spans="4:4" ht="12.75" x14ac:dyDescent="0.2">
      <c r="D900" s="19"/>
    </row>
    <row r="901" spans="4:4" ht="12.75" x14ac:dyDescent="0.2">
      <c r="D901" s="19"/>
    </row>
    <row r="902" spans="4:4" ht="12.75" x14ac:dyDescent="0.2">
      <c r="D902" s="19"/>
    </row>
    <row r="903" spans="4:4" ht="12.75" x14ac:dyDescent="0.2">
      <c r="D903" s="19"/>
    </row>
    <row r="904" spans="4:4" ht="12.75" x14ac:dyDescent="0.2">
      <c r="D904" s="19"/>
    </row>
    <row r="905" spans="4:4" ht="12.75" x14ac:dyDescent="0.2">
      <c r="D905" s="19"/>
    </row>
    <row r="906" spans="4:4" ht="12.75" x14ac:dyDescent="0.2">
      <c r="D906" s="19"/>
    </row>
    <row r="907" spans="4:4" ht="12.75" x14ac:dyDescent="0.2">
      <c r="D907" s="19"/>
    </row>
    <row r="908" spans="4:4" ht="12.75" x14ac:dyDescent="0.2">
      <c r="D908" s="19"/>
    </row>
    <row r="909" spans="4:4" ht="12.75" x14ac:dyDescent="0.2">
      <c r="D909" s="19"/>
    </row>
    <row r="910" spans="4:4" ht="12.75" x14ac:dyDescent="0.2">
      <c r="D910" s="19"/>
    </row>
    <row r="911" spans="4:4" ht="12.75" x14ac:dyDescent="0.2">
      <c r="D911" s="19"/>
    </row>
    <row r="912" spans="4:4" ht="12.75" x14ac:dyDescent="0.2">
      <c r="D912" s="19"/>
    </row>
    <row r="913" spans="4:4" ht="12.75" x14ac:dyDescent="0.2">
      <c r="D913" s="19"/>
    </row>
    <row r="914" spans="4:4" ht="12.75" x14ac:dyDescent="0.2">
      <c r="D914" s="19"/>
    </row>
    <row r="915" spans="4:4" ht="12.75" x14ac:dyDescent="0.2">
      <c r="D915" s="19"/>
    </row>
    <row r="916" spans="4:4" ht="12.75" x14ac:dyDescent="0.2">
      <c r="D916" s="19"/>
    </row>
    <row r="917" spans="4:4" ht="12.75" x14ac:dyDescent="0.2">
      <c r="D917" s="19"/>
    </row>
    <row r="918" spans="4:4" ht="12.75" x14ac:dyDescent="0.2">
      <c r="D918" s="19"/>
    </row>
    <row r="919" spans="4:4" ht="12.75" x14ac:dyDescent="0.2">
      <c r="D919" s="19"/>
    </row>
    <row r="920" spans="4:4" ht="12.75" x14ac:dyDescent="0.2">
      <c r="D920" s="19"/>
    </row>
    <row r="921" spans="4:4" ht="12.75" x14ac:dyDescent="0.2">
      <c r="D921" s="19"/>
    </row>
    <row r="922" spans="4:4" ht="12.75" x14ac:dyDescent="0.2">
      <c r="D922" s="19"/>
    </row>
    <row r="923" spans="4:4" ht="12.75" x14ac:dyDescent="0.2">
      <c r="D923" s="19"/>
    </row>
    <row r="924" spans="4:4" ht="12.75" x14ac:dyDescent="0.2">
      <c r="D924" s="19"/>
    </row>
    <row r="925" spans="4:4" ht="12.75" x14ac:dyDescent="0.2">
      <c r="D925" s="19"/>
    </row>
    <row r="926" spans="4:4" ht="12.75" x14ac:dyDescent="0.2">
      <c r="D926" s="19"/>
    </row>
    <row r="927" spans="4:4" ht="12.75" x14ac:dyDescent="0.2">
      <c r="D927" s="19"/>
    </row>
    <row r="928" spans="4:4" ht="12.75" x14ac:dyDescent="0.2">
      <c r="D928" s="19"/>
    </row>
    <row r="929" spans="4:4" ht="12.75" x14ac:dyDescent="0.2">
      <c r="D929" s="19"/>
    </row>
    <row r="930" spans="4:4" ht="12.75" x14ac:dyDescent="0.2">
      <c r="D930" s="19"/>
    </row>
    <row r="931" spans="4:4" ht="12.75" x14ac:dyDescent="0.2">
      <c r="D931" s="19"/>
    </row>
    <row r="932" spans="4:4" ht="12.75" x14ac:dyDescent="0.2">
      <c r="D932" s="19"/>
    </row>
    <row r="933" spans="4:4" ht="12.75" x14ac:dyDescent="0.2">
      <c r="D933" s="19"/>
    </row>
    <row r="934" spans="4:4" ht="12.75" x14ac:dyDescent="0.2">
      <c r="D934" s="19"/>
    </row>
    <row r="935" spans="4:4" ht="12.75" x14ac:dyDescent="0.2">
      <c r="D935" s="19"/>
    </row>
    <row r="936" spans="4:4" ht="12.75" x14ac:dyDescent="0.2">
      <c r="D936" s="19"/>
    </row>
    <row r="937" spans="4:4" ht="12.75" x14ac:dyDescent="0.2">
      <c r="D937" s="19"/>
    </row>
    <row r="938" spans="4:4" ht="12.75" x14ac:dyDescent="0.2">
      <c r="D938" s="19"/>
    </row>
    <row r="939" spans="4:4" ht="12.75" x14ac:dyDescent="0.2">
      <c r="D939" s="19"/>
    </row>
    <row r="940" spans="4:4" ht="12.75" x14ac:dyDescent="0.2">
      <c r="D940" s="19"/>
    </row>
    <row r="941" spans="4:4" ht="12.75" x14ac:dyDescent="0.2">
      <c r="D941" s="19"/>
    </row>
    <row r="942" spans="4:4" ht="12.75" x14ac:dyDescent="0.2">
      <c r="D942" s="19"/>
    </row>
    <row r="943" spans="4:4" ht="12.75" x14ac:dyDescent="0.2">
      <c r="D943" s="19"/>
    </row>
    <row r="944" spans="4:4" ht="12.75" x14ac:dyDescent="0.2">
      <c r="D944" s="19"/>
    </row>
    <row r="945" spans="4:4" ht="12.75" x14ac:dyDescent="0.2">
      <c r="D945" s="19"/>
    </row>
    <row r="946" spans="4:4" ht="12.75" x14ac:dyDescent="0.2">
      <c r="D946" s="19"/>
    </row>
    <row r="947" spans="4:4" ht="12.75" x14ac:dyDescent="0.2">
      <c r="D947" s="19"/>
    </row>
    <row r="948" spans="4:4" ht="12.75" x14ac:dyDescent="0.2">
      <c r="D948" s="19"/>
    </row>
    <row r="949" spans="4:4" ht="12.75" x14ac:dyDescent="0.2">
      <c r="D949" s="19"/>
    </row>
    <row r="950" spans="4:4" ht="12.75" x14ac:dyDescent="0.2">
      <c r="D950" s="19"/>
    </row>
    <row r="951" spans="4:4" ht="12.75" x14ac:dyDescent="0.2">
      <c r="D951" s="19"/>
    </row>
    <row r="952" spans="4:4" ht="12.75" x14ac:dyDescent="0.2">
      <c r="D952" s="19"/>
    </row>
    <row r="953" spans="4:4" ht="12.75" x14ac:dyDescent="0.2">
      <c r="D953" s="19"/>
    </row>
    <row r="954" spans="4:4" ht="12.75" x14ac:dyDescent="0.2">
      <c r="D954" s="19"/>
    </row>
    <row r="955" spans="4:4" ht="12.75" x14ac:dyDescent="0.2">
      <c r="D955" s="19"/>
    </row>
    <row r="956" spans="4:4" ht="12.75" x14ac:dyDescent="0.2">
      <c r="D956" s="19"/>
    </row>
    <row r="957" spans="4:4" ht="12.75" x14ac:dyDescent="0.2">
      <c r="D957" s="19"/>
    </row>
    <row r="958" spans="4:4" ht="12.75" x14ac:dyDescent="0.2">
      <c r="D958" s="19"/>
    </row>
    <row r="959" spans="4:4" ht="12.75" x14ac:dyDescent="0.2">
      <c r="D959" s="19"/>
    </row>
    <row r="960" spans="4:4" ht="12.75" x14ac:dyDescent="0.2">
      <c r="D960" s="19"/>
    </row>
    <row r="961" spans="4:4" ht="12.75" x14ac:dyDescent="0.2">
      <c r="D961" s="19"/>
    </row>
    <row r="962" spans="4:4" ht="12.75" x14ac:dyDescent="0.2">
      <c r="D962" s="19"/>
    </row>
    <row r="963" spans="4:4" ht="12.75" x14ac:dyDescent="0.2">
      <c r="D963" s="19"/>
    </row>
    <row r="964" spans="4:4" ht="12.75" x14ac:dyDescent="0.2">
      <c r="D964" s="19"/>
    </row>
    <row r="965" spans="4:4" ht="12.75" x14ac:dyDescent="0.2">
      <c r="D965" s="19"/>
    </row>
    <row r="966" spans="4:4" ht="12.75" x14ac:dyDescent="0.2">
      <c r="D966" s="19"/>
    </row>
    <row r="967" spans="4:4" ht="12.75" x14ac:dyDescent="0.2">
      <c r="D967" s="19"/>
    </row>
    <row r="968" spans="4:4" ht="12.75" x14ac:dyDescent="0.2">
      <c r="D968" s="19"/>
    </row>
    <row r="969" spans="4:4" ht="12.75" x14ac:dyDescent="0.2">
      <c r="D969" s="19"/>
    </row>
    <row r="970" spans="4:4" ht="12.75" x14ac:dyDescent="0.2">
      <c r="D970" s="19"/>
    </row>
    <row r="971" spans="4:4" ht="12.75" x14ac:dyDescent="0.2">
      <c r="D971" s="19"/>
    </row>
    <row r="972" spans="4:4" ht="12.75" x14ac:dyDescent="0.2">
      <c r="D972" s="19"/>
    </row>
    <row r="973" spans="4:4" ht="12.75" x14ac:dyDescent="0.2">
      <c r="D973" s="19"/>
    </row>
    <row r="974" spans="4:4" ht="12.75" x14ac:dyDescent="0.2">
      <c r="D974" s="19"/>
    </row>
    <row r="975" spans="4:4" ht="12.75" x14ac:dyDescent="0.2">
      <c r="D975" s="19"/>
    </row>
    <row r="976" spans="4:4" ht="12.75" x14ac:dyDescent="0.2">
      <c r="D976" s="19"/>
    </row>
    <row r="977" spans="4:4" ht="12.75" x14ac:dyDescent="0.2">
      <c r="D977" s="19"/>
    </row>
    <row r="978" spans="4:4" ht="12.75" x14ac:dyDescent="0.2">
      <c r="D978" s="19"/>
    </row>
    <row r="979" spans="4:4" ht="12.75" x14ac:dyDescent="0.2">
      <c r="D979" s="19"/>
    </row>
    <row r="980" spans="4:4" ht="12.75" x14ac:dyDescent="0.2">
      <c r="D980" s="19"/>
    </row>
    <row r="981" spans="4:4" ht="12.75" x14ac:dyDescent="0.2">
      <c r="D981" s="19"/>
    </row>
    <row r="982" spans="4:4" ht="12.75" x14ac:dyDescent="0.2">
      <c r="D982" s="19"/>
    </row>
    <row r="983" spans="4:4" ht="12.75" x14ac:dyDescent="0.2">
      <c r="D983" s="19"/>
    </row>
    <row r="984" spans="4:4" ht="12.75" x14ac:dyDescent="0.2">
      <c r="D984" s="19"/>
    </row>
    <row r="985" spans="4:4" ht="12.75" x14ac:dyDescent="0.2">
      <c r="D985" s="19"/>
    </row>
    <row r="986" spans="4:4" ht="12.75" x14ac:dyDescent="0.2">
      <c r="D986" s="19"/>
    </row>
    <row r="987" spans="4:4" ht="12.75" x14ac:dyDescent="0.2">
      <c r="D987" s="19"/>
    </row>
    <row r="988" spans="4:4" ht="12.75" x14ac:dyDescent="0.2">
      <c r="D988" s="19"/>
    </row>
    <row r="989" spans="4:4" ht="12.75" x14ac:dyDescent="0.2">
      <c r="D989" s="19"/>
    </row>
    <row r="990" spans="4:4" ht="12.75" x14ac:dyDescent="0.2">
      <c r="D990" s="19"/>
    </row>
    <row r="991" spans="4:4" ht="12.75" x14ac:dyDescent="0.2">
      <c r="D991" s="19"/>
    </row>
    <row r="992" spans="4:4" ht="12.75" x14ac:dyDescent="0.2">
      <c r="D992" s="19"/>
    </row>
    <row r="993" spans="4:4" ht="12.75" x14ac:dyDescent="0.2">
      <c r="D993" s="19"/>
    </row>
    <row r="994" spans="4:4" ht="12.75" x14ac:dyDescent="0.2">
      <c r="D994" s="19"/>
    </row>
  </sheetData>
  <mergeCells count="4">
    <mergeCell ref="C43:C44"/>
    <mergeCell ref="C55:C56"/>
    <mergeCell ref="C31:D31"/>
    <mergeCell ref="F20:G2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4"/>
  <sheetViews>
    <sheetView topLeftCell="A67" workbookViewId="0">
      <selection activeCell="H13" sqref="H1:H1048576"/>
    </sheetView>
  </sheetViews>
  <sheetFormatPr defaultColWidth="14.42578125" defaultRowHeight="15.75" customHeight="1" x14ac:dyDescent="0.2"/>
  <cols>
    <col min="1" max="1" width="25.85546875" customWidth="1"/>
    <col min="2" max="2" width="35.140625" customWidth="1"/>
    <col min="3" max="3" width="32.85546875" customWidth="1"/>
    <col min="4" max="4" width="19.85546875" customWidth="1"/>
    <col min="5" max="5" width="25.42578125" customWidth="1"/>
    <col min="6" max="6" width="24.85546875" customWidth="1"/>
    <col min="7" max="8" width="17" customWidth="1"/>
    <col min="9" max="9" width="21.42578125" customWidth="1"/>
  </cols>
  <sheetData>
    <row r="1" spans="1:6" ht="18" x14ac:dyDescent="0.25">
      <c r="A1" s="15" t="s">
        <v>154</v>
      </c>
      <c r="B1" s="16" t="s">
        <v>155</v>
      </c>
      <c r="C1" s="18" t="s">
        <v>156</v>
      </c>
      <c r="D1" s="19"/>
    </row>
    <row r="2" spans="1:6" ht="15.75" customHeight="1" x14ac:dyDescent="0.2">
      <c r="D2" s="19"/>
    </row>
    <row r="3" spans="1:6" ht="15.75" customHeight="1" x14ac:dyDescent="0.2">
      <c r="A3" s="15" t="s">
        <v>157</v>
      </c>
      <c r="B3" s="21" t="s">
        <v>158</v>
      </c>
      <c r="D3" s="19"/>
    </row>
    <row r="4" spans="1:6" ht="15.75" customHeight="1" x14ac:dyDescent="0.2">
      <c r="B4" s="22" t="s">
        <v>159</v>
      </c>
      <c r="C4" s="22" t="s">
        <v>158</v>
      </c>
      <c r="D4" s="22" t="s">
        <v>160</v>
      </c>
      <c r="E4" s="22" t="s">
        <v>161</v>
      </c>
    </row>
    <row r="5" spans="1:6" ht="15.75" customHeight="1" x14ac:dyDescent="0.2">
      <c r="B5" s="23" t="s">
        <v>277</v>
      </c>
      <c r="C5" s="23" t="s">
        <v>278</v>
      </c>
      <c r="D5" s="39" t="s">
        <v>13</v>
      </c>
      <c r="E5" s="39" t="s">
        <v>279</v>
      </c>
    </row>
    <row r="6" spans="1:6" ht="15.75" customHeight="1" x14ac:dyDescent="0.2">
      <c r="B6" s="23" t="s">
        <v>24</v>
      </c>
      <c r="C6" s="23" t="s">
        <v>280</v>
      </c>
      <c r="D6" s="24"/>
      <c r="E6" s="24"/>
    </row>
    <row r="7" spans="1:6" ht="15.75" customHeight="1" x14ac:dyDescent="0.2">
      <c r="D7" s="25"/>
    </row>
    <row r="8" spans="1:6" ht="15.75" customHeight="1" x14ac:dyDescent="0.2">
      <c r="A8" s="15" t="s">
        <v>157</v>
      </c>
      <c r="B8" s="21" t="s">
        <v>163</v>
      </c>
      <c r="D8" s="25"/>
    </row>
    <row r="9" spans="1:6" ht="15.75" customHeight="1" x14ac:dyDescent="0.2">
      <c r="B9" s="22" t="s">
        <v>159</v>
      </c>
      <c r="C9" s="22" t="s">
        <v>164</v>
      </c>
      <c r="D9" s="22" t="s">
        <v>165</v>
      </c>
      <c r="E9" s="22" t="s">
        <v>166</v>
      </c>
      <c r="F9" s="22" t="s">
        <v>167</v>
      </c>
    </row>
    <row r="10" spans="1:6" ht="15.75" customHeight="1" x14ac:dyDescent="0.2">
      <c r="B10" s="23" t="s">
        <v>281</v>
      </c>
      <c r="C10" s="24"/>
      <c r="D10" s="39" t="s">
        <v>282</v>
      </c>
      <c r="E10" s="24"/>
      <c r="F10" s="24"/>
    </row>
    <row r="11" spans="1:6" ht="15.75" customHeight="1" x14ac:dyDescent="0.2">
      <c r="B11" s="23" t="s">
        <v>174</v>
      </c>
      <c r="C11" s="24"/>
      <c r="D11" s="39" t="s">
        <v>283</v>
      </c>
      <c r="E11" s="24"/>
      <c r="F11" s="24"/>
    </row>
    <row r="12" spans="1:6" ht="15.75" customHeight="1" x14ac:dyDescent="0.2">
      <c r="B12" s="23" t="s">
        <v>171</v>
      </c>
      <c r="C12" s="23" t="s">
        <v>284</v>
      </c>
      <c r="D12" s="24"/>
      <c r="E12" s="23" t="s">
        <v>172</v>
      </c>
      <c r="F12" s="23" t="s">
        <v>285</v>
      </c>
    </row>
    <row r="14" spans="1:6" ht="15.75" customHeight="1" x14ac:dyDescent="0.2">
      <c r="D14" s="19"/>
    </row>
    <row r="15" spans="1:6" ht="15.75" customHeight="1" x14ac:dyDescent="0.2">
      <c r="A15" s="15" t="s">
        <v>157</v>
      </c>
      <c r="B15" s="21" t="s">
        <v>176</v>
      </c>
      <c r="D15" s="19"/>
    </row>
    <row r="16" spans="1:6" ht="15.75" customHeight="1" x14ac:dyDescent="0.2">
      <c r="B16" s="26" t="s">
        <v>177</v>
      </c>
      <c r="C16" s="10" t="s">
        <v>178</v>
      </c>
      <c r="D16" s="19"/>
    </row>
    <row r="17" spans="1:10" ht="15.75" customHeight="1" x14ac:dyDescent="0.2">
      <c r="B17" s="26" t="s">
        <v>179</v>
      </c>
      <c r="C17" s="10" t="s">
        <v>286</v>
      </c>
      <c r="D17" s="19"/>
      <c r="F17" s="40"/>
    </row>
    <row r="18" spans="1:10" ht="15.75" customHeight="1" x14ac:dyDescent="0.2">
      <c r="B18" s="26" t="s">
        <v>181</v>
      </c>
      <c r="C18" s="10" t="s">
        <v>182</v>
      </c>
      <c r="D18" s="19"/>
    </row>
    <row r="19" spans="1:10" ht="15.75" customHeight="1" x14ac:dyDescent="0.2">
      <c r="D19" s="19"/>
    </row>
    <row r="20" spans="1:10" ht="15.75" customHeight="1" x14ac:dyDescent="0.2">
      <c r="A20" s="15" t="s">
        <v>157</v>
      </c>
      <c r="B20" s="21" t="s">
        <v>183</v>
      </c>
      <c r="D20" s="19"/>
      <c r="I20" s="23" t="s">
        <v>184</v>
      </c>
    </row>
    <row r="21" spans="1:10" ht="15.75" customHeight="1" x14ac:dyDescent="0.2">
      <c r="B21" s="22" t="s">
        <v>185</v>
      </c>
      <c r="C21" s="22" t="s">
        <v>186</v>
      </c>
      <c r="D21" s="27" t="s">
        <v>61</v>
      </c>
      <c r="E21" s="22" t="s">
        <v>187</v>
      </c>
      <c r="F21" s="22" t="s">
        <v>188</v>
      </c>
      <c r="G21" s="22" t="s">
        <v>189</v>
      </c>
      <c r="H21" s="22"/>
      <c r="I21" s="10"/>
      <c r="J21" s="10"/>
    </row>
    <row r="22" spans="1:10" ht="15.75" customHeight="1" x14ac:dyDescent="0.2">
      <c r="B22" s="23" t="s">
        <v>287</v>
      </c>
      <c r="C22" s="10" t="s">
        <v>288</v>
      </c>
      <c r="D22" s="28" t="s">
        <v>65</v>
      </c>
      <c r="E22" s="10" t="s">
        <v>289</v>
      </c>
      <c r="F22" s="10" t="s">
        <v>184</v>
      </c>
      <c r="G22" s="10">
        <v>58617</v>
      </c>
      <c r="H22" s="10"/>
    </row>
    <row r="23" spans="1:10" ht="15.75" customHeight="1" x14ac:dyDescent="0.2">
      <c r="B23" s="23" t="s">
        <v>287</v>
      </c>
      <c r="C23" s="10" t="s">
        <v>290</v>
      </c>
      <c r="D23" s="28" t="s">
        <v>65</v>
      </c>
      <c r="E23" s="10" t="s">
        <v>291</v>
      </c>
      <c r="F23" s="10" t="s">
        <v>184</v>
      </c>
      <c r="G23" s="10">
        <v>58617</v>
      </c>
      <c r="H23" s="10"/>
    </row>
    <row r="24" spans="1:10" ht="15.75" customHeight="1" x14ac:dyDescent="0.2">
      <c r="B24" s="23" t="s">
        <v>287</v>
      </c>
      <c r="C24" s="10" t="s">
        <v>292</v>
      </c>
      <c r="D24" s="28" t="s">
        <v>69</v>
      </c>
      <c r="E24" s="10" t="s">
        <v>293</v>
      </c>
      <c r="F24" s="10" t="s">
        <v>184</v>
      </c>
      <c r="G24" s="10">
        <v>58617</v>
      </c>
      <c r="H24" s="10"/>
    </row>
    <row r="25" spans="1:10" ht="15.75" customHeight="1" x14ac:dyDescent="0.2">
      <c r="B25" s="23" t="s">
        <v>287</v>
      </c>
      <c r="C25" s="10" t="s">
        <v>294</v>
      </c>
      <c r="D25" s="28" t="s">
        <v>69</v>
      </c>
      <c r="E25" s="10" t="s">
        <v>295</v>
      </c>
      <c r="F25" s="10" t="s">
        <v>184</v>
      </c>
      <c r="G25" s="10">
        <v>58617</v>
      </c>
      <c r="H25" s="10"/>
    </row>
    <row r="26" spans="1:10" ht="12.75" x14ac:dyDescent="0.2">
      <c r="B26" s="23" t="s">
        <v>287</v>
      </c>
      <c r="C26" s="10" t="s">
        <v>296</v>
      </c>
      <c r="D26" s="28" t="s">
        <v>72</v>
      </c>
      <c r="E26" s="10" t="s">
        <v>297</v>
      </c>
      <c r="F26" s="10" t="s">
        <v>184</v>
      </c>
      <c r="G26" s="10">
        <v>58617</v>
      </c>
      <c r="H26" s="10"/>
      <c r="I26" s="23" t="s">
        <v>201</v>
      </c>
    </row>
    <row r="27" spans="1:10" ht="12.75" x14ac:dyDescent="0.2">
      <c r="B27" s="23" t="s">
        <v>287</v>
      </c>
      <c r="C27" s="10" t="s">
        <v>298</v>
      </c>
      <c r="D27" s="28" t="s">
        <v>72</v>
      </c>
      <c r="E27" s="10" t="s">
        <v>299</v>
      </c>
      <c r="F27" s="10" t="s">
        <v>184</v>
      </c>
      <c r="G27" s="10">
        <v>58617</v>
      </c>
      <c r="H27" s="10"/>
    </row>
    <row r="28" spans="1:10" ht="12.75" x14ac:dyDescent="0.2">
      <c r="B28" s="23" t="s">
        <v>287</v>
      </c>
      <c r="C28" s="10" t="s">
        <v>300</v>
      </c>
      <c r="D28" s="28" t="s">
        <v>83</v>
      </c>
      <c r="E28" s="10" t="s">
        <v>301</v>
      </c>
      <c r="F28" s="10" t="s">
        <v>201</v>
      </c>
      <c r="G28" s="10">
        <v>46860</v>
      </c>
      <c r="H28" s="10"/>
    </row>
    <row r="29" spans="1:10" ht="12.75" x14ac:dyDescent="0.2">
      <c r="B29" s="23" t="s">
        <v>287</v>
      </c>
      <c r="C29" s="10" t="s">
        <v>302</v>
      </c>
      <c r="D29" s="28" t="s">
        <v>83</v>
      </c>
      <c r="E29" s="10" t="s">
        <v>303</v>
      </c>
      <c r="F29" s="10" t="s">
        <v>201</v>
      </c>
      <c r="G29" s="10">
        <v>46860</v>
      </c>
      <c r="H29" s="10"/>
    </row>
    <row r="30" spans="1:10" ht="12.75" x14ac:dyDescent="0.2">
      <c r="B30" s="23" t="s">
        <v>287</v>
      </c>
      <c r="C30" s="10" t="s">
        <v>304</v>
      </c>
      <c r="D30" s="28" t="s">
        <v>83</v>
      </c>
      <c r="E30" s="10" t="s">
        <v>305</v>
      </c>
      <c r="F30" s="10" t="s">
        <v>201</v>
      </c>
      <c r="G30" s="10">
        <v>46860</v>
      </c>
      <c r="H30" s="10"/>
    </row>
    <row r="31" spans="1:10" ht="12.75" x14ac:dyDescent="0.2">
      <c r="B31" s="10"/>
      <c r="C31" s="28"/>
    </row>
    <row r="32" spans="1:10" ht="12.75" x14ac:dyDescent="0.2">
      <c r="A32" s="10"/>
      <c r="C32" s="19"/>
    </row>
    <row r="33" spans="1:6" ht="12.75" x14ac:dyDescent="0.2">
      <c r="A33" s="29" t="s">
        <v>210</v>
      </c>
      <c r="B33" s="61" t="s">
        <v>211</v>
      </c>
      <c r="C33" s="62"/>
    </row>
    <row r="34" spans="1:6" ht="12.75" x14ac:dyDescent="0.2">
      <c r="A34" s="15" t="s">
        <v>212</v>
      </c>
      <c r="B34" s="15" t="s">
        <v>213</v>
      </c>
      <c r="C34" s="15" t="s">
        <v>214</v>
      </c>
    </row>
    <row r="35" spans="1:6" ht="12.75" x14ac:dyDescent="0.2">
      <c r="A35" s="15" t="s">
        <v>212</v>
      </c>
      <c r="B35" s="15" t="s">
        <v>215</v>
      </c>
      <c r="C35" s="15" t="s">
        <v>306</v>
      </c>
    </row>
    <row r="36" spans="1:6" ht="12.75" x14ac:dyDescent="0.2">
      <c r="C36" s="19"/>
    </row>
    <row r="37" spans="1:6" ht="12.75" x14ac:dyDescent="0.2">
      <c r="C37" s="19"/>
    </row>
    <row r="38" spans="1:6" ht="12.75" x14ac:dyDescent="0.2">
      <c r="A38" s="21" t="s">
        <v>217</v>
      </c>
      <c r="C38" s="19"/>
    </row>
    <row r="39" spans="1:6" ht="12.75" x14ac:dyDescent="0.2">
      <c r="C39" s="19"/>
      <c r="D39" s="10"/>
    </row>
    <row r="40" spans="1:6" ht="12.75" x14ac:dyDescent="0.2">
      <c r="A40" s="29" t="s">
        <v>210</v>
      </c>
      <c r="B40" s="41" t="s">
        <v>307</v>
      </c>
      <c r="C40" s="15" t="s">
        <v>211</v>
      </c>
      <c r="D40" s="36" t="s">
        <v>221</v>
      </c>
      <c r="E40" s="33" t="s">
        <v>154</v>
      </c>
      <c r="F40" s="10" t="s">
        <v>308</v>
      </c>
    </row>
    <row r="41" spans="1:6" ht="12.75" x14ac:dyDescent="0.2">
      <c r="A41" s="15" t="s">
        <v>212</v>
      </c>
      <c r="B41" s="15" t="s">
        <v>223</v>
      </c>
      <c r="C41" s="10" t="s">
        <v>224</v>
      </c>
      <c r="D41" s="34"/>
    </row>
    <row r="42" spans="1:6" ht="12.75" x14ac:dyDescent="0.2">
      <c r="A42" s="15" t="s">
        <v>154</v>
      </c>
      <c r="B42" s="35" t="s">
        <v>225</v>
      </c>
      <c r="C42" s="15" t="s">
        <v>226</v>
      </c>
      <c r="D42" s="36">
        <v>45514</v>
      </c>
    </row>
    <row r="43" spans="1:6" ht="12.75" x14ac:dyDescent="0.2">
      <c r="A43" s="15" t="s">
        <v>154</v>
      </c>
      <c r="B43" s="59" t="s">
        <v>227</v>
      </c>
      <c r="C43" s="15" t="s">
        <v>228</v>
      </c>
      <c r="D43" s="36">
        <v>21163</v>
      </c>
    </row>
    <row r="44" spans="1:6" ht="12.75" x14ac:dyDescent="0.2">
      <c r="A44" s="15" t="s">
        <v>154</v>
      </c>
      <c r="B44" s="60"/>
      <c r="C44" s="15" t="s">
        <v>229</v>
      </c>
      <c r="D44" s="36">
        <v>159605</v>
      </c>
    </row>
    <row r="45" spans="1:6" ht="12.75" x14ac:dyDescent="0.2">
      <c r="A45" s="15" t="s">
        <v>157</v>
      </c>
      <c r="B45" s="15" t="s">
        <v>230</v>
      </c>
      <c r="C45" s="15" t="s">
        <v>231</v>
      </c>
      <c r="D45" s="34"/>
    </row>
    <row r="46" spans="1:6" ht="12.75" x14ac:dyDescent="0.2">
      <c r="A46" s="15" t="s">
        <v>157</v>
      </c>
      <c r="B46" s="15" t="s">
        <v>232</v>
      </c>
      <c r="C46" s="15" t="s">
        <v>233</v>
      </c>
      <c r="D46" s="36">
        <v>58435</v>
      </c>
    </row>
    <row r="47" spans="1:6" ht="12.75" x14ac:dyDescent="0.2">
      <c r="A47" s="15" t="s">
        <v>157</v>
      </c>
      <c r="B47" s="15" t="s">
        <v>234</v>
      </c>
      <c r="C47" s="15" t="s">
        <v>231</v>
      </c>
      <c r="D47" s="34"/>
    </row>
    <row r="48" spans="1:6" ht="12.75" x14ac:dyDescent="0.2">
      <c r="A48" s="15" t="s">
        <v>157</v>
      </c>
      <c r="B48" s="15" t="s">
        <v>235</v>
      </c>
      <c r="C48" s="15" t="s">
        <v>236</v>
      </c>
      <c r="D48" s="34"/>
    </row>
    <row r="49" spans="1:6" ht="12.75" x14ac:dyDescent="0.2">
      <c r="A49" s="15" t="s">
        <v>157</v>
      </c>
      <c r="B49" s="15" t="s">
        <v>237</v>
      </c>
      <c r="C49" s="15" t="s">
        <v>238</v>
      </c>
      <c r="D49" s="36" t="s">
        <v>239</v>
      </c>
    </row>
    <row r="50" spans="1:6" ht="12.75" x14ac:dyDescent="0.2">
      <c r="C50" s="19"/>
    </row>
    <row r="51" spans="1:6" ht="12.75" x14ac:dyDescent="0.2">
      <c r="C51" s="19"/>
    </row>
    <row r="52" spans="1:6" ht="12.75" x14ac:dyDescent="0.2">
      <c r="A52" s="29" t="s">
        <v>210</v>
      </c>
      <c r="B52" s="41" t="s">
        <v>309</v>
      </c>
      <c r="C52" s="29" t="s">
        <v>211</v>
      </c>
      <c r="D52" s="29" t="s">
        <v>221</v>
      </c>
      <c r="E52" s="33" t="s">
        <v>154</v>
      </c>
      <c r="F52" s="10" t="s">
        <v>310</v>
      </c>
    </row>
    <row r="53" spans="1:6" ht="12.75" x14ac:dyDescent="0.2">
      <c r="A53" s="15" t="s">
        <v>212</v>
      </c>
      <c r="B53" s="15" t="s">
        <v>223</v>
      </c>
      <c r="C53" s="15" t="s">
        <v>241</v>
      </c>
      <c r="D53" s="34"/>
    </row>
    <row r="54" spans="1:6" ht="12.75" x14ac:dyDescent="0.2">
      <c r="A54" s="15" t="s">
        <v>154</v>
      </c>
      <c r="B54" s="35" t="s">
        <v>225</v>
      </c>
      <c r="C54" s="15" t="s">
        <v>242</v>
      </c>
      <c r="D54" s="36">
        <v>63942</v>
      </c>
    </row>
    <row r="55" spans="1:6" ht="12.75" x14ac:dyDescent="0.2">
      <c r="A55" s="15" t="s">
        <v>154</v>
      </c>
      <c r="B55" s="59" t="s">
        <v>227</v>
      </c>
      <c r="C55" s="15" t="s">
        <v>243</v>
      </c>
      <c r="D55" s="36">
        <v>21163</v>
      </c>
    </row>
    <row r="56" spans="1:6" ht="12.75" x14ac:dyDescent="0.2">
      <c r="A56" s="15" t="s">
        <v>154</v>
      </c>
      <c r="B56" s="60"/>
      <c r="C56" s="15" t="s">
        <v>244</v>
      </c>
      <c r="D56" s="36">
        <v>159605</v>
      </c>
    </row>
    <row r="57" spans="1:6" ht="12.75" x14ac:dyDescent="0.2">
      <c r="A57" s="15" t="s">
        <v>157</v>
      </c>
      <c r="B57" s="15" t="s">
        <v>230</v>
      </c>
      <c r="C57" s="15" t="s">
        <v>231</v>
      </c>
      <c r="D57" s="34"/>
    </row>
    <row r="58" spans="1:6" ht="12.75" x14ac:dyDescent="0.2">
      <c r="A58" s="15" t="s">
        <v>157</v>
      </c>
      <c r="B58" s="15" t="s">
        <v>232</v>
      </c>
      <c r="C58" s="15" t="s">
        <v>233</v>
      </c>
      <c r="D58" s="36">
        <v>58435</v>
      </c>
    </row>
    <row r="59" spans="1:6" ht="12.75" x14ac:dyDescent="0.2">
      <c r="A59" s="15" t="s">
        <v>157</v>
      </c>
      <c r="B59" s="15" t="s">
        <v>234</v>
      </c>
      <c r="C59" s="15" t="s">
        <v>231</v>
      </c>
      <c r="D59" s="34"/>
    </row>
    <row r="60" spans="1:6" ht="12.75" x14ac:dyDescent="0.2">
      <c r="A60" s="15" t="s">
        <v>157</v>
      </c>
      <c r="B60" s="15" t="s">
        <v>235</v>
      </c>
      <c r="C60" s="15" t="s">
        <v>236</v>
      </c>
      <c r="D60" s="34"/>
    </row>
    <row r="61" spans="1:6" ht="12.75" x14ac:dyDescent="0.2">
      <c r="A61" s="15" t="s">
        <v>212</v>
      </c>
      <c r="B61" s="15" t="s">
        <v>237</v>
      </c>
      <c r="C61" s="15" t="s">
        <v>238</v>
      </c>
      <c r="D61" s="36" t="s">
        <v>239</v>
      </c>
    </row>
    <row r="62" spans="1:6" ht="12.75" x14ac:dyDescent="0.2">
      <c r="A62" s="15" t="s">
        <v>212</v>
      </c>
      <c r="B62" s="15" t="s">
        <v>245</v>
      </c>
      <c r="C62" s="15" t="s">
        <v>246</v>
      </c>
      <c r="D62" s="36">
        <v>108505</v>
      </c>
    </row>
    <row r="63" spans="1:6" ht="12.75" x14ac:dyDescent="0.2">
      <c r="C63" s="19"/>
    </row>
    <row r="64" spans="1:6" ht="12.75" x14ac:dyDescent="0.2">
      <c r="A64" s="29" t="s">
        <v>210</v>
      </c>
      <c r="B64" s="41" t="s">
        <v>311</v>
      </c>
      <c r="C64" s="29" t="s">
        <v>211</v>
      </c>
      <c r="D64" s="29" t="s">
        <v>221</v>
      </c>
      <c r="E64" s="33" t="s">
        <v>154</v>
      </c>
      <c r="F64" s="10" t="s">
        <v>312</v>
      </c>
    </row>
    <row r="65" spans="1:6" ht="12.75" x14ac:dyDescent="0.2">
      <c r="A65" s="15" t="s">
        <v>212</v>
      </c>
      <c r="B65" s="15" t="s">
        <v>223</v>
      </c>
      <c r="C65" s="15" t="s">
        <v>248</v>
      </c>
      <c r="D65" s="34"/>
    </row>
    <row r="66" spans="1:6" ht="12.75" x14ac:dyDescent="0.2">
      <c r="A66" s="15" t="s">
        <v>154</v>
      </c>
      <c r="B66" s="35" t="s">
        <v>225</v>
      </c>
      <c r="C66" s="15" t="s">
        <v>249</v>
      </c>
      <c r="D66" s="36">
        <v>45525</v>
      </c>
    </row>
    <row r="67" spans="1:6" ht="12.75" x14ac:dyDescent="0.2">
      <c r="A67" s="15" t="s">
        <v>154</v>
      </c>
      <c r="B67" s="35" t="s">
        <v>227</v>
      </c>
      <c r="C67" s="15" t="s">
        <v>313</v>
      </c>
      <c r="D67" s="36">
        <v>58429</v>
      </c>
    </row>
    <row r="68" spans="1:6" ht="12.75" x14ac:dyDescent="0.2">
      <c r="A68" s="15" t="s">
        <v>212</v>
      </c>
      <c r="B68" s="37" t="s">
        <v>251</v>
      </c>
      <c r="C68" s="15" t="s">
        <v>252</v>
      </c>
      <c r="D68" s="36">
        <v>45328</v>
      </c>
    </row>
    <row r="69" spans="1:6" ht="12.75" x14ac:dyDescent="0.2">
      <c r="A69" s="15" t="s">
        <v>212</v>
      </c>
      <c r="B69" s="15" t="s">
        <v>253</v>
      </c>
      <c r="C69" s="15" t="s">
        <v>254</v>
      </c>
      <c r="D69" s="36">
        <v>45329</v>
      </c>
    </row>
    <row r="70" spans="1:6" ht="12.75" x14ac:dyDescent="0.2">
      <c r="A70" s="15" t="s">
        <v>157</v>
      </c>
      <c r="B70" s="15" t="s">
        <v>232</v>
      </c>
      <c r="C70" s="15" t="s">
        <v>255</v>
      </c>
      <c r="D70" s="36">
        <v>22569</v>
      </c>
    </row>
    <row r="71" spans="1:6" ht="12.75" x14ac:dyDescent="0.2">
      <c r="A71" s="15" t="s">
        <v>157</v>
      </c>
      <c r="B71" s="15" t="s">
        <v>234</v>
      </c>
      <c r="C71" s="15" t="s">
        <v>231</v>
      </c>
      <c r="D71" s="34"/>
    </row>
    <row r="72" spans="1:6" ht="12.75" x14ac:dyDescent="0.2">
      <c r="A72" s="15" t="s">
        <v>157</v>
      </c>
      <c r="B72" s="15" t="s">
        <v>235</v>
      </c>
      <c r="C72" s="15" t="s">
        <v>236</v>
      </c>
      <c r="D72" s="34"/>
    </row>
    <row r="73" spans="1:6" ht="12.75" x14ac:dyDescent="0.2">
      <c r="A73" s="15" t="s">
        <v>212</v>
      </c>
      <c r="B73" s="15" t="s">
        <v>237</v>
      </c>
      <c r="C73" s="15" t="s">
        <v>238</v>
      </c>
      <c r="D73" s="36" t="s">
        <v>239</v>
      </c>
    </row>
    <row r="74" spans="1:6" ht="12.75" x14ac:dyDescent="0.2">
      <c r="A74" s="15" t="s">
        <v>212</v>
      </c>
      <c r="B74" s="15" t="s">
        <v>256</v>
      </c>
      <c r="C74" s="15" t="s">
        <v>257</v>
      </c>
      <c r="D74" s="36">
        <v>46939</v>
      </c>
    </row>
    <row r="75" spans="1:6" ht="12.75" x14ac:dyDescent="0.2">
      <c r="A75" s="15" t="s">
        <v>157</v>
      </c>
      <c r="B75" s="15" t="s">
        <v>258</v>
      </c>
      <c r="C75" s="15" t="s">
        <v>259</v>
      </c>
      <c r="D75" s="38"/>
    </row>
    <row r="76" spans="1:6" ht="12.75" x14ac:dyDescent="0.2">
      <c r="C76" s="19"/>
    </row>
    <row r="77" spans="1:6" ht="12.75" x14ac:dyDescent="0.2">
      <c r="A77" s="29" t="s">
        <v>210</v>
      </c>
      <c r="B77" s="41" t="s">
        <v>314</v>
      </c>
      <c r="C77" s="29" t="s">
        <v>211</v>
      </c>
      <c r="D77" s="29" t="s">
        <v>221</v>
      </c>
      <c r="E77" s="33" t="s">
        <v>154</v>
      </c>
      <c r="F77" s="10" t="s">
        <v>315</v>
      </c>
    </row>
    <row r="78" spans="1:6" ht="12.75" x14ac:dyDescent="0.2">
      <c r="A78" s="15" t="s">
        <v>212</v>
      </c>
      <c r="B78" s="15" t="s">
        <v>223</v>
      </c>
      <c r="C78" s="15" t="s">
        <v>261</v>
      </c>
      <c r="D78" s="34"/>
    </row>
    <row r="79" spans="1:6" ht="12.75" x14ac:dyDescent="0.2">
      <c r="A79" s="15" t="s">
        <v>154</v>
      </c>
      <c r="B79" s="35" t="s">
        <v>225</v>
      </c>
      <c r="C79" s="15" t="s">
        <v>262</v>
      </c>
      <c r="D79" s="36">
        <v>45548</v>
      </c>
    </row>
    <row r="80" spans="1:6" ht="12.75" x14ac:dyDescent="0.2">
      <c r="A80" s="15" t="s">
        <v>157</v>
      </c>
      <c r="B80" s="15" t="s">
        <v>230</v>
      </c>
      <c r="C80" s="15" t="s">
        <v>231</v>
      </c>
      <c r="D80" s="34"/>
    </row>
    <row r="81" spans="1:4" ht="12.75" x14ac:dyDescent="0.2">
      <c r="A81" s="15" t="s">
        <v>157</v>
      </c>
      <c r="B81" s="15" t="s">
        <v>232</v>
      </c>
      <c r="C81" s="15" t="s">
        <v>233</v>
      </c>
      <c r="D81" s="36">
        <v>58435</v>
      </c>
    </row>
    <row r="82" spans="1:4" ht="12.75" x14ac:dyDescent="0.2">
      <c r="A82" s="15" t="s">
        <v>157</v>
      </c>
      <c r="B82" s="15" t="s">
        <v>234</v>
      </c>
      <c r="C82" s="15" t="s">
        <v>231</v>
      </c>
      <c r="D82" s="34"/>
    </row>
    <row r="83" spans="1:4" ht="12.75" x14ac:dyDescent="0.2">
      <c r="A83" s="15" t="s">
        <v>157</v>
      </c>
      <c r="B83" s="15" t="s">
        <v>235</v>
      </c>
      <c r="C83" s="15" t="s">
        <v>263</v>
      </c>
      <c r="D83" s="34"/>
    </row>
    <row r="84" spans="1:4" ht="12.75" x14ac:dyDescent="0.2">
      <c r="A84" s="15" t="s">
        <v>212</v>
      </c>
      <c r="B84" s="15" t="s">
        <v>264</v>
      </c>
      <c r="C84" s="15" t="s">
        <v>265</v>
      </c>
      <c r="D84" s="34"/>
    </row>
    <row r="85" spans="1:4" ht="12.75" x14ac:dyDescent="0.2">
      <c r="A85" s="15" t="s">
        <v>212</v>
      </c>
      <c r="B85" s="15" t="s">
        <v>266</v>
      </c>
      <c r="C85" s="15" t="s">
        <v>267</v>
      </c>
      <c r="D85" s="34"/>
    </row>
    <row r="86" spans="1:4" ht="12.75" x14ac:dyDescent="0.2">
      <c r="A86" s="15" t="s">
        <v>212</v>
      </c>
      <c r="B86" s="15" t="s">
        <v>268</v>
      </c>
      <c r="C86" s="15" t="s">
        <v>269</v>
      </c>
      <c r="D86" s="34"/>
    </row>
    <row r="87" spans="1:4" ht="12.75" x14ac:dyDescent="0.2">
      <c r="A87" s="15" t="s">
        <v>212</v>
      </c>
      <c r="B87" s="15" t="s">
        <v>270</v>
      </c>
      <c r="C87" s="15" t="s">
        <v>271</v>
      </c>
      <c r="D87" s="36">
        <v>58622</v>
      </c>
    </row>
    <row r="88" spans="1:4" ht="12.75" x14ac:dyDescent="0.2">
      <c r="A88" s="15" t="s">
        <v>212</v>
      </c>
      <c r="B88" s="15" t="s">
        <v>272</v>
      </c>
      <c r="C88" s="15" t="s">
        <v>273</v>
      </c>
      <c r="D88" s="36">
        <v>152915</v>
      </c>
    </row>
    <row r="89" spans="1:4" ht="12.75" x14ac:dyDescent="0.2">
      <c r="C89" s="19"/>
    </row>
    <row r="90" spans="1:4" ht="12.75" x14ac:dyDescent="0.2">
      <c r="C90" s="23"/>
    </row>
    <row r="91" spans="1:4" ht="12.75" x14ac:dyDescent="0.2">
      <c r="C91" s="19"/>
    </row>
    <row r="92" spans="1:4" ht="12.75" x14ac:dyDescent="0.2">
      <c r="C92" s="19"/>
    </row>
    <row r="93" spans="1:4" ht="12.75" x14ac:dyDescent="0.2">
      <c r="C93" s="19"/>
    </row>
    <row r="94" spans="1:4" ht="12.75" x14ac:dyDescent="0.2">
      <c r="C94" s="19"/>
    </row>
    <row r="95" spans="1:4" ht="12.75" x14ac:dyDescent="0.2">
      <c r="C95" s="19"/>
    </row>
    <row r="96" spans="1:4" ht="12.75" x14ac:dyDescent="0.2">
      <c r="C96" s="19"/>
    </row>
    <row r="97" spans="3:3" ht="12.75" x14ac:dyDescent="0.2">
      <c r="C97" s="19"/>
    </row>
    <row r="98" spans="3:3" ht="12.75" x14ac:dyDescent="0.2">
      <c r="C98" s="19"/>
    </row>
    <row r="99" spans="3:3" ht="12.75" x14ac:dyDescent="0.2">
      <c r="C99" s="19"/>
    </row>
    <row r="100" spans="3:3" ht="12.75" x14ac:dyDescent="0.2">
      <c r="C100" s="19"/>
    </row>
    <row r="101" spans="3:3" ht="12.75" x14ac:dyDescent="0.2">
      <c r="C101" s="19"/>
    </row>
    <row r="102" spans="3:3" ht="12.75" x14ac:dyDescent="0.2">
      <c r="C102" s="19"/>
    </row>
    <row r="103" spans="3:3" ht="12.75" x14ac:dyDescent="0.2">
      <c r="C103" s="19"/>
    </row>
    <row r="104" spans="3:3" ht="12.75" x14ac:dyDescent="0.2">
      <c r="C104" s="19"/>
    </row>
    <row r="105" spans="3:3" ht="12.75" x14ac:dyDescent="0.2">
      <c r="C105" s="19"/>
    </row>
    <row r="106" spans="3:3" ht="12.75" x14ac:dyDescent="0.2">
      <c r="C106" s="19"/>
    </row>
    <row r="107" spans="3:3" ht="12.75" x14ac:dyDescent="0.2">
      <c r="C107" s="19"/>
    </row>
    <row r="108" spans="3:3" ht="12.75" x14ac:dyDescent="0.2">
      <c r="C108" s="19"/>
    </row>
    <row r="109" spans="3:3" ht="12.75" x14ac:dyDescent="0.2">
      <c r="C109" s="19"/>
    </row>
    <row r="110" spans="3:3" ht="12.75" x14ac:dyDescent="0.2">
      <c r="C110" s="19"/>
    </row>
    <row r="111" spans="3:3" ht="12.75" x14ac:dyDescent="0.2">
      <c r="C111" s="19"/>
    </row>
    <row r="112" spans="3:3" ht="12.75" x14ac:dyDescent="0.2">
      <c r="C112" s="19"/>
    </row>
    <row r="113" spans="3:3" ht="12.75" x14ac:dyDescent="0.2">
      <c r="C113" s="19"/>
    </row>
    <row r="114" spans="3:3" ht="12.75" x14ac:dyDescent="0.2">
      <c r="C114" s="19"/>
    </row>
    <row r="115" spans="3:3" ht="12.75" x14ac:dyDescent="0.2">
      <c r="C115" s="19"/>
    </row>
    <row r="116" spans="3:3" ht="12.75" x14ac:dyDescent="0.2">
      <c r="C116" s="19"/>
    </row>
    <row r="117" spans="3:3" ht="12.75" x14ac:dyDescent="0.2">
      <c r="C117" s="19"/>
    </row>
    <row r="118" spans="3:3" ht="12.75" x14ac:dyDescent="0.2">
      <c r="C118" s="19"/>
    </row>
    <row r="119" spans="3:3" ht="12.75" x14ac:dyDescent="0.2">
      <c r="C119" s="19"/>
    </row>
    <row r="120" spans="3:3" ht="12.75" x14ac:dyDescent="0.2">
      <c r="C120" s="19"/>
    </row>
    <row r="121" spans="3:3" ht="12.75" x14ac:dyDescent="0.2">
      <c r="C121" s="19"/>
    </row>
    <row r="122" spans="3:3" ht="12.75" x14ac:dyDescent="0.2">
      <c r="C122" s="19"/>
    </row>
    <row r="123" spans="3:3" ht="12.75" x14ac:dyDescent="0.2">
      <c r="C123" s="19"/>
    </row>
    <row r="124" spans="3:3" ht="12.75" x14ac:dyDescent="0.2">
      <c r="C124" s="19"/>
    </row>
    <row r="125" spans="3:3" ht="12.75" x14ac:dyDescent="0.2">
      <c r="C125" s="19"/>
    </row>
    <row r="126" spans="3:3" ht="12.75" x14ac:dyDescent="0.2">
      <c r="C126" s="19"/>
    </row>
    <row r="127" spans="3:3" ht="12.75" x14ac:dyDescent="0.2">
      <c r="C127" s="19"/>
    </row>
    <row r="128" spans="3:3" ht="12.75" x14ac:dyDescent="0.2">
      <c r="C128" s="19"/>
    </row>
    <row r="129" spans="3:3" ht="12.75" x14ac:dyDescent="0.2">
      <c r="C129" s="19"/>
    </row>
    <row r="130" spans="3:3" ht="12.75" x14ac:dyDescent="0.2">
      <c r="C130" s="19"/>
    </row>
    <row r="131" spans="3:3" ht="12.75" x14ac:dyDescent="0.2">
      <c r="C131" s="19"/>
    </row>
    <row r="132" spans="3:3" ht="12.75" x14ac:dyDescent="0.2">
      <c r="C132" s="19"/>
    </row>
    <row r="133" spans="3:3" ht="12.75" x14ac:dyDescent="0.2">
      <c r="C133" s="19"/>
    </row>
    <row r="134" spans="3:3" ht="12.75" x14ac:dyDescent="0.2">
      <c r="C134" s="19"/>
    </row>
    <row r="135" spans="3:3" ht="12.75" x14ac:dyDescent="0.2">
      <c r="C135" s="19"/>
    </row>
    <row r="136" spans="3:3" ht="12.75" x14ac:dyDescent="0.2">
      <c r="C136" s="19"/>
    </row>
    <row r="137" spans="3:3" ht="12.75" x14ac:dyDescent="0.2">
      <c r="C137" s="19"/>
    </row>
    <row r="138" spans="3:3" ht="12.75" x14ac:dyDescent="0.2">
      <c r="C138" s="19"/>
    </row>
    <row r="139" spans="3:3" ht="12.75" x14ac:dyDescent="0.2">
      <c r="C139" s="19"/>
    </row>
    <row r="140" spans="3:3" ht="12.75" x14ac:dyDescent="0.2">
      <c r="C140" s="19"/>
    </row>
    <row r="141" spans="3:3" ht="12.75" x14ac:dyDescent="0.2">
      <c r="C141" s="19"/>
    </row>
    <row r="142" spans="3:3" ht="12.75" x14ac:dyDescent="0.2">
      <c r="C142" s="19"/>
    </row>
    <row r="143" spans="3:3" ht="12.75" x14ac:dyDescent="0.2">
      <c r="C143" s="19"/>
    </row>
    <row r="144" spans="3:3" ht="12.75" x14ac:dyDescent="0.2">
      <c r="C144" s="19"/>
    </row>
    <row r="145" spans="3:3" ht="12.75" x14ac:dyDescent="0.2">
      <c r="C145" s="19"/>
    </row>
    <row r="146" spans="3:3" ht="12.75" x14ac:dyDescent="0.2">
      <c r="C146" s="19"/>
    </row>
    <row r="147" spans="3:3" ht="12.75" x14ac:dyDescent="0.2">
      <c r="C147" s="19"/>
    </row>
    <row r="148" spans="3:3" ht="12.75" x14ac:dyDescent="0.2">
      <c r="C148" s="19"/>
    </row>
    <row r="149" spans="3:3" ht="12.75" x14ac:dyDescent="0.2">
      <c r="C149" s="19"/>
    </row>
    <row r="150" spans="3:3" ht="12.75" x14ac:dyDescent="0.2">
      <c r="C150" s="19"/>
    </row>
    <row r="151" spans="3:3" ht="12.75" x14ac:dyDescent="0.2">
      <c r="C151" s="19"/>
    </row>
    <row r="152" spans="3:3" ht="12.75" x14ac:dyDescent="0.2">
      <c r="C152" s="19"/>
    </row>
    <row r="153" spans="3:3" ht="12.75" x14ac:dyDescent="0.2">
      <c r="C153" s="19"/>
    </row>
    <row r="154" spans="3:3" ht="12.75" x14ac:dyDescent="0.2">
      <c r="C154" s="19"/>
    </row>
    <row r="155" spans="3:3" ht="12.75" x14ac:dyDescent="0.2">
      <c r="C155" s="19"/>
    </row>
    <row r="156" spans="3:3" ht="12.75" x14ac:dyDescent="0.2">
      <c r="C156" s="19"/>
    </row>
    <row r="157" spans="3:3" ht="12.75" x14ac:dyDescent="0.2">
      <c r="C157" s="19"/>
    </row>
    <row r="158" spans="3:3" ht="12.75" x14ac:dyDescent="0.2">
      <c r="C158" s="19"/>
    </row>
    <row r="159" spans="3:3" ht="12.75" x14ac:dyDescent="0.2">
      <c r="C159" s="19"/>
    </row>
    <row r="160" spans="3:3" ht="12.75" x14ac:dyDescent="0.2">
      <c r="C160" s="19"/>
    </row>
    <row r="161" spans="3:3" ht="12.75" x14ac:dyDescent="0.2">
      <c r="C161" s="19"/>
    </row>
    <row r="162" spans="3:3" ht="12.75" x14ac:dyDescent="0.2">
      <c r="C162" s="19"/>
    </row>
    <row r="163" spans="3:3" ht="12.75" x14ac:dyDescent="0.2">
      <c r="C163" s="19"/>
    </row>
    <row r="164" spans="3:3" ht="12.75" x14ac:dyDescent="0.2">
      <c r="C164" s="19"/>
    </row>
    <row r="165" spans="3:3" ht="12.75" x14ac:dyDescent="0.2">
      <c r="C165" s="19"/>
    </row>
    <row r="166" spans="3:3" ht="12.75" x14ac:dyDescent="0.2">
      <c r="C166" s="19"/>
    </row>
    <row r="167" spans="3:3" ht="12.75" x14ac:dyDescent="0.2">
      <c r="C167" s="19"/>
    </row>
    <row r="168" spans="3:3" ht="12.75" x14ac:dyDescent="0.2">
      <c r="C168" s="19"/>
    </row>
    <row r="169" spans="3:3" ht="12.75" x14ac:dyDescent="0.2">
      <c r="C169" s="19"/>
    </row>
    <row r="170" spans="3:3" ht="12.75" x14ac:dyDescent="0.2">
      <c r="C170" s="19"/>
    </row>
    <row r="171" spans="3:3" ht="12.75" x14ac:dyDescent="0.2">
      <c r="C171" s="19"/>
    </row>
    <row r="172" spans="3:3" ht="12.75" x14ac:dyDescent="0.2">
      <c r="C172" s="19"/>
    </row>
    <row r="173" spans="3:3" ht="12.75" x14ac:dyDescent="0.2">
      <c r="C173" s="19"/>
    </row>
    <row r="174" spans="3:3" ht="12.75" x14ac:dyDescent="0.2">
      <c r="C174" s="19"/>
    </row>
    <row r="175" spans="3:3" ht="12.75" x14ac:dyDescent="0.2">
      <c r="C175" s="19"/>
    </row>
    <row r="176" spans="3:3" ht="12.75" x14ac:dyDescent="0.2">
      <c r="C176" s="19"/>
    </row>
    <row r="177" spans="3:3" ht="12.75" x14ac:dyDescent="0.2">
      <c r="C177" s="19"/>
    </row>
    <row r="178" spans="3:3" ht="12.75" x14ac:dyDescent="0.2">
      <c r="C178" s="19"/>
    </row>
    <row r="179" spans="3:3" ht="12.75" x14ac:dyDescent="0.2">
      <c r="C179" s="19"/>
    </row>
    <row r="180" spans="3:3" ht="12.75" x14ac:dyDescent="0.2">
      <c r="C180" s="19"/>
    </row>
    <row r="181" spans="3:3" ht="12.75" x14ac:dyDescent="0.2">
      <c r="C181" s="19"/>
    </row>
    <row r="182" spans="3:3" ht="12.75" x14ac:dyDescent="0.2">
      <c r="C182" s="19"/>
    </row>
    <row r="183" spans="3:3" ht="12.75" x14ac:dyDescent="0.2">
      <c r="C183" s="19"/>
    </row>
    <row r="184" spans="3:3" ht="12.75" x14ac:dyDescent="0.2">
      <c r="C184" s="19"/>
    </row>
    <row r="185" spans="3:3" ht="12.75" x14ac:dyDescent="0.2">
      <c r="C185" s="19"/>
    </row>
    <row r="186" spans="3:3" ht="12.75" x14ac:dyDescent="0.2">
      <c r="C186" s="19"/>
    </row>
    <row r="187" spans="3:3" ht="12.75" x14ac:dyDescent="0.2">
      <c r="C187" s="19"/>
    </row>
    <row r="188" spans="3:3" ht="12.75" x14ac:dyDescent="0.2">
      <c r="C188" s="19"/>
    </row>
    <row r="189" spans="3:3" ht="12.75" x14ac:dyDescent="0.2">
      <c r="C189" s="19"/>
    </row>
    <row r="190" spans="3:3" ht="12.75" x14ac:dyDescent="0.2">
      <c r="C190" s="19"/>
    </row>
    <row r="191" spans="3:3" ht="12.75" x14ac:dyDescent="0.2">
      <c r="C191" s="19"/>
    </row>
    <row r="192" spans="3:3" ht="12.75" x14ac:dyDescent="0.2">
      <c r="C192" s="19"/>
    </row>
    <row r="193" spans="3:3" ht="12.75" x14ac:dyDescent="0.2">
      <c r="C193" s="19"/>
    </row>
    <row r="194" spans="3:3" ht="12.75" x14ac:dyDescent="0.2">
      <c r="C194" s="19"/>
    </row>
    <row r="195" spans="3:3" ht="12.75" x14ac:dyDescent="0.2">
      <c r="C195" s="19"/>
    </row>
    <row r="196" spans="3:3" ht="12.75" x14ac:dyDescent="0.2">
      <c r="C196" s="19"/>
    </row>
    <row r="197" spans="3:3" ht="12.75" x14ac:dyDescent="0.2">
      <c r="C197" s="19"/>
    </row>
    <row r="198" spans="3:3" ht="12.75" x14ac:dyDescent="0.2">
      <c r="C198" s="19"/>
    </row>
    <row r="199" spans="3:3" ht="12.75" x14ac:dyDescent="0.2">
      <c r="C199" s="19"/>
    </row>
    <row r="200" spans="3:3" ht="12.75" x14ac:dyDescent="0.2">
      <c r="C200" s="19"/>
    </row>
    <row r="201" spans="3:3" ht="12.75" x14ac:dyDescent="0.2">
      <c r="C201" s="19"/>
    </row>
    <row r="202" spans="3:3" ht="12.75" x14ac:dyDescent="0.2">
      <c r="C202" s="19"/>
    </row>
    <row r="203" spans="3:3" ht="12.75" x14ac:dyDescent="0.2">
      <c r="C203" s="19"/>
    </row>
    <row r="204" spans="3:3" ht="12.75" x14ac:dyDescent="0.2">
      <c r="C204" s="19"/>
    </row>
    <row r="205" spans="3:3" ht="12.75" x14ac:dyDescent="0.2">
      <c r="C205" s="19"/>
    </row>
    <row r="206" spans="3:3" ht="12.75" x14ac:dyDescent="0.2">
      <c r="C206" s="19"/>
    </row>
    <row r="207" spans="3:3" ht="12.75" x14ac:dyDescent="0.2">
      <c r="C207" s="19"/>
    </row>
    <row r="208" spans="3:3" ht="12.75" x14ac:dyDescent="0.2">
      <c r="C208" s="19"/>
    </row>
    <row r="209" spans="3:3" ht="12.75" x14ac:dyDescent="0.2">
      <c r="C209" s="19"/>
    </row>
    <row r="210" spans="3:3" ht="12.75" x14ac:dyDescent="0.2">
      <c r="C210" s="19"/>
    </row>
    <row r="211" spans="3:3" ht="12.75" x14ac:dyDescent="0.2">
      <c r="C211" s="19"/>
    </row>
    <row r="212" spans="3:3" ht="12.75" x14ac:dyDescent="0.2">
      <c r="C212" s="19"/>
    </row>
    <row r="213" spans="3:3" ht="12.75" x14ac:dyDescent="0.2">
      <c r="C213" s="19"/>
    </row>
    <row r="214" spans="3:3" ht="12.75" x14ac:dyDescent="0.2">
      <c r="C214" s="19"/>
    </row>
    <row r="215" spans="3:3" ht="12.75" x14ac:dyDescent="0.2">
      <c r="C215" s="19"/>
    </row>
    <row r="216" spans="3:3" ht="12.75" x14ac:dyDescent="0.2">
      <c r="C216" s="19"/>
    </row>
    <row r="217" spans="3:3" ht="12.75" x14ac:dyDescent="0.2">
      <c r="C217" s="19"/>
    </row>
    <row r="218" spans="3:3" ht="12.75" x14ac:dyDescent="0.2">
      <c r="C218" s="19"/>
    </row>
    <row r="219" spans="3:3" ht="12.75" x14ac:dyDescent="0.2">
      <c r="C219" s="19"/>
    </row>
    <row r="220" spans="3:3" ht="12.75" x14ac:dyDescent="0.2">
      <c r="C220" s="19"/>
    </row>
    <row r="221" spans="3:3" ht="12.75" x14ac:dyDescent="0.2">
      <c r="C221" s="19"/>
    </row>
    <row r="222" spans="3:3" ht="12.75" x14ac:dyDescent="0.2">
      <c r="C222" s="19"/>
    </row>
    <row r="223" spans="3:3" ht="12.75" x14ac:dyDescent="0.2">
      <c r="C223" s="19"/>
    </row>
    <row r="224" spans="3:3" ht="12.75" x14ac:dyDescent="0.2">
      <c r="C224" s="19"/>
    </row>
    <row r="225" spans="3:3" ht="12.75" x14ac:dyDescent="0.2">
      <c r="C225" s="19"/>
    </row>
    <row r="226" spans="3:3" ht="12.75" x14ac:dyDescent="0.2">
      <c r="C226" s="19"/>
    </row>
    <row r="227" spans="3:3" ht="12.75" x14ac:dyDescent="0.2">
      <c r="C227" s="19"/>
    </row>
    <row r="228" spans="3:3" ht="12.75" x14ac:dyDescent="0.2">
      <c r="C228" s="19"/>
    </row>
    <row r="229" spans="3:3" ht="12.75" x14ac:dyDescent="0.2">
      <c r="C229" s="19"/>
    </row>
    <row r="230" spans="3:3" ht="12.75" x14ac:dyDescent="0.2">
      <c r="C230" s="19"/>
    </row>
    <row r="231" spans="3:3" ht="12.75" x14ac:dyDescent="0.2">
      <c r="C231" s="19"/>
    </row>
    <row r="232" spans="3:3" ht="12.75" x14ac:dyDescent="0.2">
      <c r="C232" s="19"/>
    </row>
    <row r="233" spans="3:3" ht="12.75" x14ac:dyDescent="0.2">
      <c r="C233" s="19"/>
    </row>
    <row r="234" spans="3:3" ht="12.75" x14ac:dyDescent="0.2">
      <c r="C234" s="19"/>
    </row>
    <row r="235" spans="3:3" ht="12.75" x14ac:dyDescent="0.2">
      <c r="C235" s="19"/>
    </row>
    <row r="236" spans="3:3" ht="12.75" x14ac:dyDescent="0.2">
      <c r="C236" s="19"/>
    </row>
    <row r="237" spans="3:3" ht="12.75" x14ac:dyDescent="0.2">
      <c r="C237" s="19"/>
    </row>
    <row r="238" spans="3:3" ht="12.75" x14ac:dyDescent="0.2">
      <c r="C238" s="19"/>
    </row>
    <row r="239" spans="3:3" ht="12.75" x14ac:dyDescent="0.2">
      <c r="C239" s="19"/>
    </row>
    <row r="240" spans="3:3" ht="12.75" x14ac:dyDescent="0.2">
      <c r="C240" s="19"/>
    </row>
    <row r="241" spans="3:3" ht="12.75" x14ac:dyDescent="0.2">
      <c r="C241" s="19"/>
    </row>
    <row r="242" spans="3:3" ht="12.75" x14ac:dyDescent="0.2">
      <c r="C242" s="19"/>
    </row>
    <row r="243" spans="3:3" ht="12.75" x14ac:dyDescent="0.2">
      <c r="C243" s="19"/>
    </row>
    <row r="244" spans="3:3" ht="12.75" x14ac:dyDescent="0.2">
      <c r="C244" s="19"/>
    </row>
    <row r="245" spans="3:3" ht="12.75" x14ac:dyDescent="0.2">
      <c r="C245" s="19"/>
    </row>
    <row r="246" spans="3:3" ht="12.75" x14ac:dyDescent="0.2">
      <c r="C246" s="19"/>
    </row>
    <row r="247" spans="3:3" ht="12.75" x14ac:dyDescent="0.2">
      <c r="C247" s="19"/>
    </row>
    <row r="248" spans="3:3" ht="12.75" x14ac:dyDescent="0.2">
      <c r="C248" s="19"/>
    </row>
    <row r="249" spans="3:3" ht="12.75" x14ac:dyDescent="0.2">
      <c r="C249" s="19"/>
    </row>
    <row r="250" spans="3:3" ht="12.75" x14ac:dyDescent="0.2">
      <c r="C250" s="19"/>
    </row>
    <row r="251" spans="3:3" ht="12.75" x14ac:dyDescent="0.2">
      <c r="C251" s="19"/>
    </row>
    <row r="252" spans="3:3" ht="12.75" x14ac:dyDescent="0.2">
      <c r="C252" s="19"/>
    </row>
    <row r="253" spans="3:3" ht="12.75" x14ac:dyDescent="0.2">
      <c r="C253" s="19"/>
    </row>
    <row r="254" spans="3:3" ht="12.75" x14ac:dyDescent="0.2">
      <c r="C254" s="19"/>
    </row>
    <row r="255" spans="3:3" ht="12.75" x14ac:dyDescent="0.2">
      <c r="C255" s="19"/>
    </row>
    <row r="256" spans="3:3" ht="12.75" x14ac:dyDescent="0.2">
      <c r="C256" s="19"/>
    </row>
    <row r="257" spans="3:3" ht="12.75" x14ac:dyDescent="0.2">
      <c r="C257" s="19"/>
    </row>
    <row r="258" spans="3:3" ht="12.75" x14ac:dyDescent="0.2">
      <c r="C258" s="19"/>
    </row>
    <row r="259" spans="3:3" ht="12.75" x14ac:dyDescent="0.2">
      <c r="C259" s="19"/>
    </row>
    <row r="260" spans="3:3" ht="12.75" x14ac:dyDescent="0.2">
      <c r="C260" s="19"/>
    </row>
    <row r="261" spans="3:3" ht="12.75" x14ac:dyDescent="0.2">
      <c r="C261" s="19"/>
    </row>
    <row r="262" spans="3:3" ht="12.75" x14ac:dyDescent="0.2">
      <c r="C262" s="19"/>
    </row>
    <row r="263" spans="3:3" ht="12.75" x14ac:dyDescent="0.2">
      <c r="C263" s="19"/>
    </row>
    <row r="264" spans="3:3" ht="12.75" x14ac:dyDescent="0.2">
      <c r="C264" s="19"/>
    </row>
    <row r="265" spans="3:3" ht="12.75" x14ac:dyDescent="0.2">
      <c r="C265" s="19"/>
    </row>
    <row r="266" spans="3:3" ht="12.75" x14ac:dyDescent="0.2">
      <c r="C266" s="19"/>
    </row>
    <row r="267" spans="3:3" ht="12.75" x14ac:dyDescent="0.2">
      <c r="C267" s="19"/>
    </row>
    <row r="268" spans="3:3" ht="12.75" x14ac:dyDescent="0.2">
      <c r="C268" s="19"/>
    </row>
    <row r="269" spans="3:3" ht="12.75" x14ac:dyDescent="0.2">
      <c r="C269" s="19"/>
    </row>
    <row r="270" spans="3:3" ht="12.75" x14ac:dyDescent="0.2">
      <c r="C270" s="19"/>
    </row>
    <row r="271" spans="3:3" ht="12.75" x14ac:dyDescent="0.2">
      <c r="C271" s="19"/>
    </row>
    <row r="272" spans="3:3" ht="12.75" x14ac:dyDescent="0.2">
      <c r="C272" s="19"/>
    </row>
    <row r="273" spans="3:3" ht="12.75" x14ac:dyDescent="0.2">
      <c r="C273" s="19"/>
    </row>
    <row r="274" spans="3:3" ht="12.75" x14ac:dyDescent="0.2">
      <c r="C274" s="19"/>
    </row>
    <row r="275" spans="3:3" ht="12.75" x14ac:dyDescent="0.2">
      <c r="C275" s="19"/>
    </row>
    <row r="276" spans="3:3" ht="12.75" x14ac:dyDescent="0.2">
      <c r="C276" s="19"/>
    </row>
    <row r="277" spans="3:3" ht="12.75" x14ac:dyDescent="0.2">
      <c r="C277" s="19"/>
    </row>
    <row r="278" spans="3:3" ht="12.75" x14ac:dyDescent="0.2">
      <c r="C278" s="19"/>
    </row>
    <row r="279" spans="3:3" ht="12.75" x14ac:dyDescent="0.2">
      <c r="C279" s="19"/>
    </row>
    <row r="280" spans="3:3" ht="12.75" x14ac:dyDescent="0.2">
      <c r="C280" s="19"/>
    </row>
    <row r="281" spans="3:3" ht="12.75" x14ac:dyDescent="0.2">
      <c r="C281" s="19"/>
    </row>
    <row r="282" spans="3:3" ht="12.75" x14ac:dyDescent="0.2">
      <c r="C282" s="19"/>
    </row>
    <row r="283" spans="3:3" ht="12.75" x14ac:dyDescent="0.2">
      <c r="C283" s="19"/>
    </row>
    <row r="284" spans="3:3" ht="12.75" x14ac:dyDescent="0.2">
      <c r="C284" s="19"/>
    </row>
    <row r="285" spans="3:3" ht="12.75" x14ac:dyDescent="0.2">
      <c r="C285" s="19"/>
    </row>
    <row r="286" spans="3:3" ht="12.75" x14ac:dyDescent="0.2">
      <c r="C286" s="19"/>
    </row>
    <row r="287" spans="3:3" ht="12.75" x14ac:dyDescent="0.2">
      <c r="C287" s="19"/>
    </row>
    <row r="288" spans="3:3" ht="12.75" x14ac:dyDescent="0.2">
      <c r="C288" s="19"/>
    </row>
    <row r="289" spans="3:3" ht="12.75" x14ac:dyDescent="0.2">
      <c r="C289" s="19"/>
    </row>
    <row r="290" spans="3:3" ht="12.75" x14ac:dyDescent="0.2">
      <c r="C290" s="19"/>
    </row>
    <row r="291" spans="3:3" ht="12.75" x14ac:dyDescent="0.2">
      <c r="C291" s="19"/>
    </row>
    <row r="292" spans="3:3" ht="12.75" x14ac:dyDescent="0.2">
      <c r="C292" s="19"/>
    </row>
    <row r="293" spans="3:3" ht="12.75" x14ac:dyDescent="0.2">
      <c r="C293" s="19"/>
    </row>
    <row r="294" spans="3:3" ht="12.75" x14ac:dyDescent="0.2">
      <c r="C294" s="19"/>
    </row>
    <row r="295" spans="3:3" ht="12.75" x14ac:dyDescent="0.2">
      <c r="C295" s="19"/>
    </row>
    <row r="296" spans="3:3" ht="12.75" x14ac:dyDescent="0.2">
      <c r="C296" s="19"/>
    </row>
    <row r="297" spans="3:3" ht="12.75" x14ac:dyDescent="0.2">
      <c r="C297" s="19"/>
    </row>
    <row r="298" spans="3:3" ht="12.75" x14ac:dyDescent="0.2">
      <c r="C298" s="19"/>
    </row>
    <row r="299" spans="3:3" ht="12.75" x14ac:dyDescent="0.2">
      <c r="C299" s="19"/>
    </row>
    <row r="300" spans="3:3" ht="12.75" x14ac:dyDescent="0.2">
      <c r="C300" s="19"/>
    </row>
    <row r="301" spans="3:3" ht="12.75" x14ac:dyDescent="0.2">
      <c r="C301" s="19"/>
    </row>
    <row r="302" spans="3:3" ht="12.75" x14ac:dyDescent="0.2">
      <c r="C302" s="19"/>
    </row>
    <row r="303" spans="3:3" ht="12.75" x14ac:dyDescent="0.2">
      <c r="C303" s="19"/>
    </row>
    <row r="304" spans="3:3" ht="12.75" x14ac:dyDescent="0.2">
      <c r="C304" s="19"/>
    </row>
    <row r="305" spans="3:3" ht="12.75" x14ac:dyDescent="0.2">
      <c r="C305" s="19"/>
    </row>
    <row r="306" spans="3:3" ht="12.75" x14ac:dyDescent="0.2">
      <c r="C306" s="19"/>
    </row>
    <row r="307" spans="3:3" ht="12.75" x14ac:dyDescent="0.2">
      <c r="C307" s="19"/>
    </row>
    <row r="308" spans="3:3" ht="12.75" x14ac:dyDescent="0.2">
      <c r="C308" s="19"/>
    </row>
    <row r="309" spans="3:3" ht="12.75" x14ac:dyDescent="0.2">
      <c r="C309" s="19"/>
    </row>
    <row r="310" spans="3:3" ht="12.75" x14ac:dyDescent="0.2">
      <c r="C310" s="19"/>
    </row>
    <row r="311" spans="3:3" ht="12.75" x14ac:dyDescent="0.2">
      <c r="C311" s="19"/>
    </row>
    <row r="312" spans="3:3" ht="12.75" x14ac:dyDescent="0.2">
      <c r="C312" s="19"/>
    </row>
    <row r="313" spans="3:3" ht="12.75" x14ac:dyDescent="0.2">
      <c r="C313" s="19"/>
    </row>
    <row r="314" spans="3:3" ht="12.75" x14ac:dyDescent="0.2">
      <c r="C314" s="19"/>
    </row>
    <row r="315" spans="3:3" ht="12.75" x14ac:dyDescent="0.2">
      <c r="C315" s="19"/>
    </row>
    <row r="316" spans="3:3" ht="12.75" x14ac:dyDescent="0.2">
      <c r="C316" s="19"/>
    </row>
    <row r="317" spans="3:3" ht="12.75" x14ac:dyDescent="0.2">
      <c r="C317" s="19"/>
    </row>
    <row r="318" spans="3:3" ht="12.75" x14ac:dyDescent="0.2">
      <c r="C318" s="19"/>
    </row>
    <row r="319" spans="3:3" ht="12.75" x14ac:dyDescent="0.2">
      <c r="C319" s="19"/>
    </row>
    <row r="320" spans="3:3" ht="12.75" x14ac:dyDescent="0.2">
      <c r="C320" s="19"/>
    </row>
    <row r="321" spans="3:3" ht="12.75" x14ac:dyDescent="0.2">
      <c r="C321" s="19"/>
    </row>
    <row r="322" spans="3:3" ht="12.75" x14ac:dyDescent="0.2">
      <c r="C322" s="19"/>
    </row>
    <row r="323" spans="3:3" ht="12.75" x14ac:dyDescent="0.2">
      <c r="C323" s="19"/>
    </row>
    <row r="324" spans="3:3" ht="12.75" x14ac:dyDescent="0.2">
      <c r="C324" s="19"/>
    </row>
    <row r="325" spans="3:3" ht="12.75" x14ac:dyDescent="0.2">
      <c r="C325" s="19"/>
    </row>
    <row r="326" spans="3:3" ht="12.75" x14ac:dyDescent="0.2">
      <c r="C326" s="19"/>
    </row>
    <row r="327" spans="3:3" ht="12.75" x14ac:dyDescent="0.2">
      <c r="C327" s="19"/>
    </row>
    <row r="328" spans="3:3" ht="12.75" x14ac:dyDescent="0.2">
      <c r="C328" s="19"/>
    </row>
    <row r="329" spans="3:3" ht="12.75" x14ac:dyDescent="0.2">
      <c r="C329" s="19"/>
    </row>
    <row r="330" spans="3:3" ht="12.75" x14ac:dyDescent="0.2">
      <c r="C330" s="19"/>
    </row>
    <row r="331" spans="3:3" ht="12.75" x14ac:dyDescent="0.2">
      <c r="C331" s="19"/>
    </row>
    <row r="332" spans="3:3" ht="12.75" x14ac:dyDescent="0.2">
      <c r="C332" s="19"/>
    </row>
    <row r="333" spans="3:3" ht="12.75" x14ac:dyDescent="0.2">
      <c r="C333" s="19"/>
    </row>
    <row r="334" spans="3:3" ht="12.75" x14ac:dyDescent="0.2">
      <c r="C334" s="19"/>
    </row>
    <row r="335" spans="3:3" ht="12.75" x14ac:dyDescent="0.2">
      <c r="C335" s="19"/>
    </row>
    <row r="336" spans="3:3" ht="12.75" x14ac:dyDescent="0.2">
      <c r="C336" s="19"/>
    </row>
    <row r="337" spans="3:3" ht="12.75" x14ac:dyDescent="0.2">
      <c r="C337" s="19"/>
    </row>
    <row r="338" spans="3:3" ht="12.75" x14ac:dyDescent="0.2">
      <c r="C338" s="19"/>
    </row>
    <row r="339" spans="3:3" ht="12.75" x14ac:dyDescent="0.2">
      <c r="C339" s="19"/>
    </row>
    <row r="340" spans="3:3" ht="12.75" x14ac:dyDescent="0.2">
      <c r="C340" s="19"/>
    </row>
    <row r="341" spans="3:3" ht="12.75" x14ac:dyDescent="0.2">
      <c r="C341" s="19"/>
    </row>
    <row r="342" spans="3:3" ht="12.75" x14ac:dyDescent="0.2">
      <c r="C342" s="19"/>
    </row>
    <row r="343" spans="3:3" ht="12.75" x14ac:dyDescent="0.2">
      <c r="C343" s="19"/>
    </row>
    <row r="344" spans="3:3" ht="12.75" x14ac:dyDescent="0.2">
      <c r="C344" s="19"/>
    </row>
    <row r="345" spans="3:3" ht="12.75" x14ac:dyDescent="0.2">
      <c r="C345" s="19"/>
    </row>
    <row r="346" spans="3:3" ht="12.75" x14ac:dyDescent="0.2">
      <c r="C346" s="19"/>
    </row>
    <row r="347" spans="3:3" ht="12.75" x14ac:dyDescent="0.2">
      <c r="C347" s="19"/>
    </row>
    <row r="348" spans="3:3" ht="12.75" x14ac:dyDescent="0.2">
      <c r="C348" s="19"/>
    </row>
    <row r="349" spans="3:3" ht="12.75" x14ac:dyDescent="0.2">
      <c r="C349" s="19"/>
    </row>
    <row r="350" spans="3:3" ht="12.75" x14ac:dyDescent="0.2">
      <c r="C350" s="19"/>
    </row>
    <row r="351" spans="3:3" ht="12.75" x14ac:dyDescent="0.2">
      <c r="C351" s="19"/>
    </row>
    <row r="352" spans="3:3" ht="12.75" x14ac:dyDescent="0.2">
      <c r="C352" s="19"/>
    </row>
    <row r="353" spans="3:3" ht="12.75" x14ac:dyDescent="0.2">
      <c r="C353" s="19"/>
    </row>
    <row r="354" spans="3:3" ht="12.75" x14ac:dyDescent="0.2">
      <c r="C354" s="19"/>
    </row>
    <row r="355" spans="3:3" ht="12.75" x14ac:dyDescent="0.2">
      <c r="C355" s="19"/>
    </row>
    <row r="356" spans="3:3" ht="12.75" x14ac:dyDescent="0.2">
      <c r="C356" s="19"/>
    </row>
    <row r="357" spans="3:3" ht="12.75" x14ac:dyDescent="0.2">
      <c r="C357" s="19"/>
    </row>
    <row r="358" spans="3:3" ht="12.75" x14ac:dyDescent="0.2">
      <c r="C358" s="19"/>
    </row>
    <row r="359" spans="3:3" ht="12.75" x14ac:dyDescent="0.2">
      <c r="C359" s="19"/>
    </row>
    <row r="360" spans="3:3" ht="12.75" x14ac:dyDescent="0.2">
      <c r="C360" s="19"/>
    </row>
    <row r="361" spans="3:3" ht="12.75" x14ac:dyDescent="0.2">
      <c r="C361" s="19"/>
    </row>
    <row r="362" spans="3:3" ht="12.75" x14ac:dyDescent="0.2">
      <c r="C362" s="19"/>
    </row>
    <row r="363" spans="3:3" ht="12.75" x14ac:dyDescent="0.2">
      <c r="C363" s="19"/>
    </row>
    <row r="364" spans="3:3" ht="12.75" x14ac:dyDescent="0.2">
      <c r="C364" s="19"/>
    </row>
    <row r="365" spans="3:3" ht="12.75" x14ac:dyDescent="0.2">
      <c r="C365" s="19"/>
    </row>
    <row r="366" spans="3:3" ht="12.75" x14ac:dyDescent="0.2">
      <c r="C366" s="19"/>
    </row>
    <row r="367" spans="3:3" ht="12.75" x14ac:dyDescent="0.2">
      <c r="C367" s="19"/>
    </row>
    <row r="368" spans="3:3" ht="12.75" x14ac:dyDescent="0.2">
      <c r="C368" s="19"/>
    </row>
    <row r="369" spans="3:3" ht="12.75" x14ac:dyDescent="0.2">
      <c r="C369" s="19"/>
    </row>
    <row r="370" spans="3:3" ht="12.75" x14ac:dyDescent="0.2">
      <c r="C370" s="19"/>
    </row>
    <row r="371" spans="3:3" ht="12.75" x14ac:dyDescent="0.2">
      <c r="C371" s="19"/>
    </row>
    <row r="372" spans="3:3" ht="12.75" x14ac:dyDescent="0.2">
      <c r="C372" s="19"/>
    </row>
    <row r="373" spans="3:3" ht="12.75" x14ac:dyDescent="0.2">
      <c r="C373" s="19"/>
    </row>
    <row r="374" spans="3:3" ht="12.75" x14ac:dyDescent="0.2">
      <c r="C374" s="19"/>
    </row>
    <row r="375" spans="3:3" ht="12.75" x14ac:dyDescent="0.2">
      <c r="C375" s="19"/>
    </row>
    <row r="376" spans="3:3" ht="12.75" x14ac:dyDescent="0.2">
      <c r="C376" s="19"/>
    </row>
    <row r="377" spans="3:3" ht="12.75" x14ac:dyDescent="0.2">
      <c r="C377" s="19"/>
    </row>
    <row r="378" spans="3:3" ht="12.75" x14ac:dyDescent="0.2">
      <c r="C378" s="19"/>
    </row>
    <row r="379" spans="3:3" ht="12.75" x14ac:dyDescent="0.2">
      <c r="C379" s="19"/>
    </row>
    <row r="380" spans="3:3" ht="12.75" x14ac:dyDescent="0.2">
      <c r="C380" s="19"/>
    </row>
    <row r="381" spans="3:3" ht="12.75" x14ac:dyDescent="0.2">
      <c r="C381" s="19"/>
    </row>
    <row r="382" spans="3:3" ht="12.75" x14ac:dyDescent="0.2">
      <c r="C382" s="19"/>
    </row>
    <row r="383" spans="3:3" ht="12.75" x14ac:dyDescent="0.2">
      <c r="C383" s="19"/>
    </row>
    <row r="384" spans="3:3" ht="12.75" x14ac:dyDescent="0.2">
      <c r="C384" s="19"/>
    </row>
    <row r="385" spans="3:3" ht="12.75" x14ac:dyDescent="0.2">
      <c r="C385" s="19"/>
    </row>
    <row r="386" spans="3:3" ht="12.75" x14ac:dyDescent="0.2">
      <c r="C386" s="19"/>
    </row>
    <row r="387" spans="3:3" ht="12.75" x14ac:dyDescent="0.2">
      <c r="C387" s="19"/>
    </row>
    <row r="388" spans="3:3" ht="12.75" x14ac:dyDescent="0.2">
      <c r="C388" s="19"/>
    </row>
    <row r="389" spans="3:3" ht="12.75" x14ac:dyDescent="0.2">
      <c r="C389" s="19"/>
    </row>
    <row r="390" spans="3:3" ht="12.75" x14ac:dyDescent="0.2">
      <c r="C390" s="19"/>
    </row>
    <row r="391" spans="3:3" ht="12.75" x14ac:dyDescent="0.2">
      <c r="C391" s="19"/>
    </row>
    <row r="392" spans="3:3" ht="12.75" x14ac:dyDescent="0.2">
      <c r="C392" s="19"/>
    </row>
    <row r="393" spans="3:3" ht="12.75" x14ac:dyDescent="0.2">
      <c r="C393" s="19"/>
    </row>
    <row r="394" spans="3:3" ht="12.75" x14ac:dyDescent="0.2">
      <c r="C394" s="19"/>
    </row>
    <row r="395" spans="3:3" ht="12.75" x14ac:dyDescent="0.2">
      <c r="C395" s="19"/>
    </row>
    <row r="396" spans="3:3" ht="12.75" x14ac:dyDescent="0.2">
      <c r="C396" s="19"/>
    </row>
    <row r="397" spans="3:3" ht="12.75" x14ac:dyDescent="0.2">
      <c r="C397" s="19"/>
    </row>
    <row r="398" spans="3:3" ht="12.75" x14ac:dyDescent="0.2">
      <c r="C398" s="19"/>
    </row>
    <row r="399" spans="3:3" ht="12.75" x14ac:dyDescent="0.2">
      <c r="C399" s="19"/>
    </row>
    <row r="400" spans="3:3" ht="12.75" x14ac:dyDescent="0.2">
      <c r="C400" s="19"/>
    </row>
    <row r="401" spans="3:3" ht="12.75" x14ac:dyDescent="0.2">
      <c r="C401" s="19"/>
    </row>
    <row r="402" spans="3:3" ht="12.75" x14ac:dyDescent="0.2">
      <c r="C402" s="19"/>
    </row>
    <row r="403" spans="3:3" ht="12.75" x14ac:dyDescent="0.2">
      <c r="C403" s="19"/>
    </row>
    <row r="404" spans="3:3" ht="12.75" x14ac:dyDescent="0.2">
      <c r="C404" s="19"/>
    </row>
    <row r="405" spans="3:3" ht="12.75" x14ac:dyDescent="0.2">
      <c r="C405" s="19"/>
    </row>
    <row r="406" spans="3:3" ht="12.75" x14ac:dyDescent="0.2">
      <c r="C406" s="19"/>
    </row>
    <row r="407" spans="3:3" ht="12.75" x14ac:dyDescent="0.2">
      <c r="C407" s="19"/>
    </row>
    <row r="408" spans="3:3" ht="12.75" x14ac:dyDescent="0.2">
      <c r="C408" s="19"/>
    </row>
    <row r="409" spans="3:3" ht="12.75" x14ac:dyDescent="0.2">
      <c r="C409" s="19"/>
    </row>
    <row r="410" spans="3:3" ht="12.75" x14ac:dyDescent="0.2">
      <c r="C410" s="19"/>
    </row>
    <row r="411" spans="3:3" ht="12.75" x14ac:dyDescent="0.2">
      <c r="C411" s="19"/>
    </row>
    <row r="412" spans="3:3" ht="12.75" x14ac:dyDescent="0.2">
      <c r="C412" s="19"/>
    </row>
    <row r="413" spans="3:3" ht="12.75" x14ac:dyDescent="0.2">
      <c r="C413" s="19"/>
    </row>
    <row r="414" spans="3:3" ht="12.75" x14ac:dyDescent="0.2">
      <c r="C414" s="19"/>
    </row>
    <row r="415" spans="3:3" ht="12.75" x14ac:dyDescent="0.2">
      <c r="C415" s="19"/>
    </row>
    <row r="416" spans="3:3" ht="12.75" x14ac:dyDescent="0.2">
      <c r="C416" s="19"/>
    </row>
    <row r="417" spans="3:3" ht="12.75" x14ac:dyDescent="0.2">
      <c r="C417" s="19"/>
    </row>
    <row r="418" spans="3:3" ht="12.75" x14ac:dyDescent="0.2">
      <c r="C418" s="19"/>
    </row>
    <row r="419" spans="3:3" ht="12.75" x14ac:dyDescent="0.2">
      <c r="C419" s="19"/>
    </row>
    <row r="420" spans="3:3" ht="12.75" x14ac:dyDescent="0.2">
      <c r="C420" s="19"/>
    </row>
    <row r="421" spans="3:3" ht="12.75" x14ac:dyDescent="0.2">
      <c r="C421" s="19"/>
    </row>
    <row r="422" spans="3:3" ht="12.75" x14ac:dyDescent="0.2">
      <c r="C422" s="19"/>
    </row>
    <row r="423" spans="3:3" ht="12.75" x14ac:dyDescent="0.2">
      <c r="C423" s="19"/>
    </row>
    <row r="424" spans="3:3" ht="12.75" x14ac:dyDescent="0.2">
      <c r="C424" s="19"/>
    </row>
    <row r="425" spans="3:3" ht="12.75" x14ac:dyDescent="0.2">
      <c r="C425" s="19"/>
    </row>
    <row r="426" spans="3:3" ht="12.75" x14ac:dyDescent="0.2">
      <c r="C426" s="19"/>
    </row>
    <row r="427" spans="3:3" ht="12.75" x14ac:dyDescent="0.2">
      <c r="C427" s="19"/>
    </row>
    <row r="428" spans="3:3" ht="12.75" x14ac:dyDescent="0.2">
      <c r="C428" s="19"/>
    </row>
    <row r="429" spans="3:3" ht="12.75" x14ac:dyDescent="0.2">
      <c r="C429" s="19"/>
    </row>
    <row r="430" spans="3:3" ht="12.75" x14ac:dyDescent="0.2">
      <c r="C430" s="19"/>
    </row>
    <row r="431" spans="3:3" ht="12.75" x14ac:dyDescent="0.2">
      <c r="C431" s="19"/>
    </row>
    <row r="432" spans="3:3" ht="12.75" x14ac:dyDescent="0.2">
      <c r="C432" s="19"/>
    </row>
    <row r="433" spans="3:3" ht="12.75" x14ac:dyDescent="0.2">
      <c r="C433" s="19"/>
    </row>
    <row r="434" spans="3:3" ht="12.75" x14ac:dyDescent="0.2">
      <c r="C434" s="19"/>
    </row>
    <row r="435" spans="3:3" ht="12.75" x14ac:dyDescent="0.2">
      <c r="C435" s="19"/>
    </row>
    <row r="436" spans="3:3" ht="12.75" x14ac:dyDescent="0.2">
      <c r="C436" s="19"/>
    </row>
    <row r="437" spans="3:3" ht="12.75" x14ac:dyDescent="0.2">
      <c r="C437" s="19"/>
    </row>
    <row r="438" spans="3:3" ht="12.75" x14ac:dyDescent="0.2">
      <c r="C438" s="19"/>
    </row>
    <row r="439" spans="3:3" ht="12.75" x14ac:dyDescent="0.2">
      <c r="C439" s="19"/>
    </row>
    <row r="440" spans="3:3" ht="12.75" x14ac:dyDescent="0.2">
      <c r="C440" s="19"/>
    </row>
    <row r="441" spans="3:3" ht="12.75" x14ac:dyDescent="0.2">
      <c r="C441" s="19"/>
    </row>
    <row r="442" spans="3:3" ht="12.75" x14ac:dyDescent="0.2">
      <c r="C442" s="19"/>
    </row>
    <row r="443" spans="3:3" ht="12.75" x14ac:dyDescent="0.2">
      <c r="C443" s="19"/>
    </row>
    <row r="444" spans="3:3" ht="12.75" x14ac:dyDescent="0.2">
      <c r="C444" s="19"/>
    </row>
    <row r="445" spans="3:3" ht="12.75" x14ac:dyDescent="0.2">
      <c r="C445" s="19"/>
    </row>
    <row r="446" spans="3:3" ht="12.75" x14ac:dyDescent="0.2">
      <c r="C446" s="19"/>
    </row>
    <row r="447" spans="3:3" ht="12.75" x14ac:dyDescent="0.2">
      <c r="C447" s="19"/>
    </row>
    <row r="448" spans="3:3" ht="12.75" x14ac:dyDescent="0.2">
      <c r="C448" s="19"/>
    </row>
    <row r="449" spans="3:3" ht="12.75" x14ac:dyDescent="0.2">
      <c r="C449" s="19"/>
    </row>
    <row r="450" spans="3:3" ht="12.75" x14ac:dyDescent="0.2">
      <c r="C450" s="19"/>
    </row>
    <row r="451" spans="3:3" ht="12.75" x14ac:dyDescent="0.2">
      <c r="C451" s="19"/>
    </row>
    <row r="452" spans="3:3" ht="12.75" x14ac:dyDescent="0.2">
      <c r="C452" s="19"/>
    </row>
    <row r="453" spans="3:3" ht="12.75" x14ac:dyDescent="0.2">
      <c r="C453" s="19"/>
    </row>
    <row r="454" spans="3:3" ht="12.75" x14ac:dyDescent="0.2">
      <c r="C454" s="19"/>
    </row>
    <row r="455" spans="3:3" ht="12.75" x14ac:dyDescent="0.2">
      <c r="C455" s="19"/>
    </row>
    <row r="456" spans="3:3" ht="12.75" x14ac:dyDescent="0.2">
      <c r="C456" s="19"/>
    </row>
    <row r="457" spans="3:3" ht="12.75" x14ac:dyDescent="0.2">
      <c r="C457" s="19"/>
    </row>
    <row r="458" spans="3:3" ht="12.75" x14ac:dyDescent="0.2">
      <c r="C458" s="19"/>
    </row>
    <row r="459" spans="3:3" ht="12.75" x14ac:dyDescent="0.2">
      <c r="C459" s="19"/>
    </row>
    <row r="460" spans="3:3" ht="12.75" x14ac:dyDescent="0.2">
      <c r="C460" s="19"/>
    </row>
    <row r="461" spans="3:3" ht="12.75" x14ac:dyDescent="0.2">
      <c r="C461" s="19"/>
    </row>
    <row r="462" spans="3:3" ht="12.75" x14ac:dyDescent="0.2">
      <c r="C462" s="19"/>
    </row>
    <row r="463" spans="3:3" ht="12.75" x14ac:dyDescent="0.2">
      <c r="C463" s="19"/>
    </row>
    <row r="464" spans="3:3" ht="12.75" x14ac:dyDescent="0.2">
      <c r="C464" s="19"/>
    </row>
    <row r="465" spans="3:3" ht="12.75" x14ac:dyDescent="0.2">
      <c r="C465" s="19"/>
    </row>
    <row r="466" spans="3:3" ht="12.75" x14ac:dyDescent="0.2">
      <c r="C466" s="19"/>
    </row>
    <row r="467" spans="3:3" ht="12.75" x14ac:dyDescent="0.2">
      <c r="C467" s="19"/>
    </row>
    <row r="468" spans="3:3" ht="12.75" x14ac:dyDescent="0.2">
      <c r="C468" s="19"/>
    </row>
    <row r="469" spans="3:3" ht="12.75" x14ac:dyDescent="0.2">
      <c r="C469" s="19"/>
    </row>
    <row r="470" spans="3:3" ht="12.75" x14ac:dyDescent="0.2">
      <c r="C470" s="19"/>
    </row>
    <row r="471" spans="3:3" ht="12.75" x14ac:dyDescent="0.2">
      <c r="C471" s="19"/>
    </row>
    <row r="472" spans="3:3" ht="12.75" x14ac:dyDescent="0.2">
      <c r="C472" s="19"/>
    </row>
    <row r="473" spans="3:3" ht="12.75" x14ac:dyDescent="0.2">
      <c r="C473" s="19"/>
    </row>
    <row r="474" spans="3:3" ht="12.75" x14ac:dyDescent="0.2">
      <c r="C474" s="19"/>
    </row>
    <row r="475" spans="3:3" ht="12.75" x14ac:dyDescent="0.2">
      <c r="C475" s="19"/>
    </row>
    <row r="476" spans="3:3" ht="12.75" x14ac:dyDescent="0.2">
      <c r="C476" s="19"/>
    </row>
    <row r="477" spans="3:3" ht="12.75" x14ac:dyDescent="0.2">
      <c r="C477" s="19"/>
    </row>
    <row r="478" spans="3:3" ht="12.75" x14ac:dyDescent="0.2">
      <c r="C478" s="19"/>
    </row>
    <row r="479" spans="3:3" ht="12.75" x14ac:dyDescent="0.2">
      <c r="C479" s="19"/>
    </row>
    <row r="480" spans="3:3" ht="12.75" x14ac:dyDescent="0.2">
      <c r="C480" s="19"/>
    </row>
    <row r="481" spans="3:3" ht="12.75" x14ac:dyDescent="0.2">
      <c r="C481" s="19"/>
    </row>
    <row r="482" spans="3:3" ht="12.75" x14ac:dyDescent="0.2">
      <c r="C482" s="19"/>
    </row>
    <row r="483" spans="3:3" ht="12.75" x14ac:dyDescent="0.2">
      <c r="C483" s="19"/>
    </row>
    <row r="484" spans="3:3" ht="12.75" x14ac:dyDescent="0.2">
      <c r="C484" s="19"/>
    </row>
    <row r="485" spans="3:3" ht="12.75" x14ac:dyDescent="0.2">
      <c r="C485" s="19"/>
    </row>
    <row r="486" spans="3:3" ht="12.75" x14ac:dyDescent="0.2">
      <c r="C486" s="19"/>
    </row>
    <row r="487" spans="3:3" ht="12.75" x14ac:dyDescent="0.2">
      <c r="C487" s="19"/>
    </row>
    <row r="488" spans="3:3" ht="12.75" x14ac:dyDescent="0.2">
      <c r="C488" s="19"/>
    </row>
    <row r="489" spans="3:3" ht="12.75" x14ac:dyDescent="0.2">
      <c r="C489" s="19"/>
    </row>
    <row r="490" spans="3:3" ht="12.75" x14ac:dyDescent="0.2">
      <c r="C490" s="19"/>
    </row>
    <row r="491" spans="3:3" ht="12.75" x14ac:dyDescent="0.2">
      <c r="C491" s="19"/>
    </row>
    <row r="492" spans="3:3" ht="12.75" x14ac:dyDescent="0.2">
      <c r="C492" s="19"/>
    </row>
    <row r="493" spans="3:3" ht="12.75" x14ac:dyDescent="0.2">
      <c r="C493" s="19"/>
    </row>
    <row r="494" spans="3:3" ht="12.75" x14ac:dyDescent="0.2">
      <c r="C494" s="19"/>
    </row>
    <row r="495" spans="3:3" ht="12.75" x14ac:dyDescent="0.2">
      <c r="C495" s="19"/>
    </row>
    <row r="496" spans="3:3" ht="12.75" x14ac:dyDescent="0.2">
      <c r="C496" s="19"/>
    </row>
    <row r="497" spans="3:3" ht="12.75" x14ac:dyDescent="0.2">
      <c r="C497" s="19"/>
    </row>
    <row r="498" spans="3:3" ht="12.75" x14ac:dyDescent="0.2">
      <c r="C498" s="19"/>
    </row>
    <row r="499" spans="3:3" ht="12.75" x14ac:dyDescent="0.2">
      <c r="C499" s="19"/>
    </row>
    <row r="500" spans="3:3" ht="12.75" x14ac:dyDescent="0.2">
      <c r="C500" s="19"/>
    </row>
    <row r="501" spans="3:3" ht="12.75" x14ac:dyDescent="0.2">
      <c r="C501" s="19"/>
    </row>
    <row r="502" spans="3:3" ht="12.75" x14ac:dyDescent="0.2">
      <c r="C502" s="19"/>
    </row>
    <row r="503" spans="3:3" ht="12.75" x14ac:dyDescent="0.2">
      <c r="C503" s="19"/>
    </row>
    <row r="504" spans="3:3" ht="12.75" x14ac:dyDescent="0.2">
      <c r="C504" s="19"/>
    </row>
    <row r="505" spans="3:3" ht="12.75" x14ac:dyDescent="0.2">
      <c r="C505" s="19"/>
    </row>
    <row r="506" spans="3:3" ht="12.75" x14ac:dyDescent="0.2">
      <c r="C506" s="19"/>
    </row>
    <row r="507" spans="3:3" ht="12.75" x14ac:dyDescent="0.2">
      <c r="C507" s="19"/>
    </row>
    <row r="508" spans="3:3" ht="12.75" x14ac:dyDescent="0.2">
      <c r="C508" s="19"/>
    </row>
    <row r="509" spans="3:3" ht="12.75" x14ac:dyDescent="0.2">
      <c r="C509" s="19"/>
    </row>
    <row r="510" spans="3:3" ht="12.75" x14ac:dyDescent="0.2">
      <c r="C510" s="19"/>
    </row>
    <row r="511" spans="3:3" ht="12.75" x14ac:dyDescent="0.2">
      <c r="C511" s="19"/>
    </row>
    <row r="512" spans="3:3" ht="12.75" x14ac:dyDescent="0.2">
      <c r="C512" s="19"/>
    </row>
    <row r="513" spans="3:3" ht="12.75" x14ac:dyDescent="0.2">
      <c r="C513" s="19"/>
    </row>
    <row r="514" spans="3:3" ht="12.75" x14ac:dyDescent="0.2">
      <c r="C514" s="19"/>
    </row>
    <row r="515" spans="3:3" ht="12.75" x14ac:dyDescent="0.2">
      <c r="C515" s="19"/>
    </row>
    <row r="516" spans="3:3" ht="12.75" x14ac:dyDescent="0.2">
      <c r="C516" s="19"/>
    </row>
    <row r="517" spans="3:3" ht="12.75" x14ac:dyDescent="0.2">
      <c r="C517" s="19"/>
    </row>
    <row r="518" spans="3:3" ht="12.75" x14ac:dyDescent="0.2">
      <c r="C518" s="19"/>
    </row>
    <row r="519" spans="3:3" ht="12.75" x14ac:dyDescent="0.2">
      <c r="C519" s="19"/>
    </row>
    <row r="520" spans="3:3" ht="12.75" x14ac:dyDescent="0.2">
      <c r="C520" s="19"/>
    </row>
    <row r="521" spans="3:3" ht="12.75" x14ac:dyDescent="0.2">
      <c r="C521" s="19"/>
    </row>
    <row r="522" spans="3:3" ht="12.75" x14ac:dyDescent="0.2">
      <c r="C522" s="19"/>
    </row>
    <row r="523" spans="3:3" ht="12.75" x14ac:dyDescent="0.2">
      <c r="C523" s="19"/>
    </row>
    <row r="524" spans="3:3" ht="12.75" x14ac:dyDescent="0.2">
      <c r="C524" s="19"/>
    </row>
    <row r="525" spans="3:3" ht="12.75" x14ac:dyDescent="0.2">
      <c r="C525" s="19"/>
    </row>
    <row r="526" spans="3:3" ht="12.75" x14ac:dyDescent="0.2">
      <c r="C526" s="19"/>
    </row>
    <row r="527" spans="3:3" ht="12.75" x14ac:dyDescent="0.2">
      <c r="C527" s="19"/>
    </row>
    <row r="528" spans="3:3" ht="12.75" x14ac:dyDescent="0.2">
      <c r="C528" s="19"/>
    </row>
    <row r="529" spans="3:3" ht="12.75" x14ac:dyDescent="0.2">
      <c r="C529" s="19"/>
    </row>
    <row r="530" spans="3:3" ht="12.75" x14ac:dyDescent="0.2">
      <c r="C530" s="19"/>
    </row>
    <row r="531" spans="3:3" ht="12.75" x14ac:dyDescent="0.2">
      <c r="C531" s="19"/>
    </row>
    <row r="532" spans="3:3" ht="12.75" x14ac:dyDescent="0.2">
      <c r="C532" s="19"/>
    </row>
    <row r="533" spans="3:3" ht="12.75" x14ac:dyDescent="0.2">
      <c r="C533" s="19"/>
    </row>
    <row r="534" spans="3:3" ht="12.75" x14ac:dyDescent="0.2">
      <c r="C534" s="19"/>
    </row>
    <row r="535" spans="3:3" ht="12.75" x14ac:dyDescent="0.2">
      <c r="C535" s="19"/>
    </row>
    <row r="536" spans="3:3" ht="12.75" x14ac:dyDescent="0.2">
      <c r="C536" s="19"/>
    </row>
    <row r="537" spans="3:3" ht="12.75" x14ac:dyDescent="0.2">
      <c r="C537" s="19"/>
    </row>
    <row r="538" spans="3:3" ht="12.75" x14ac:dyDescent="0.2">
      <c r="C538" s="19"/>
    </row>
    <row r="539" spans="3:3" ht="12.75" x14ac:dyDescent="0.2">
      <c r="C539" s="19"/>
    </row>
    <row r="540" spans="3:3" ht="12.75" x14ac:dyDescent="0.2">
      <c r="C540" s="19"/>
    </row>
    <row r="541" spans="3:3" ht="12.75" x14ac:dyDescent="0.2">
      <c r="C541" s="19"/>
    </row>
    <row r="542" spans="3:3" ht="12.75" x14ac:dyDescent="0.2">
      <c r="C542" s="19"/>
    </row>
    <row r="543" spans="3:3" ht="12.75" x14ac:dyDescent="0.2">
      <c r="C543" s="19"/>
    </row>
    <row r="544" spans="3:3" ht="12.75" x14ac:dyDescent="0.2">
      <c r="C544" s="19"/>
    </row>
    <row r="545" spans="3:3" ht="12.75" x14ac:dyDescent="0.2">
      <c r="C545" s="19"/>
    </row>
    <row r="546" spans="3:3" ht="12.75" x14ac:dyDescent="0.2">
      <c r="C546" s="19"/>
    </row>
    <row r="547" spans="3:3" ht="12.75" x14ac:dyDescent="0.2">
      <c r="C547" s="19"/>
    </row>
    <row r="548" spans="3:3" ht="12.75" x14ac:dyDescent="0.2">
      <c r="C548" s="19"/>
    </row>
    <row r="549" spans="3:3" ht="12.75" x14ac:dyDescent="0.2">
      <c r="C549" s="19"/>
    </row>
    <row r="550" spans="3:3" ht="12.75" x14ac:dyDescent="0.2">
      <c r="C550" s="19"/>
    </row>
    <row r="551" spans="3:3" ht="12.75" x14ac:dyDescent="0.2">
      <c r="C551" s="19"/>
    </row>
    <row r="552" spans="3:3" ht="12.75" x14ac:dyDescent="0.2">
      <c r="C552" s="19"/>
    </row>
    <row r="553" spans="3:3" ht="12.75" x14ac:dyDescent="0.2">
      <c r="C553" s="19"/>
    </row>
    <row r="554" spans="3:3" ht="12.75" x14ac:dyDescent="0.2">
      <c r="C554" s="19"/>
    </row>
    <row r="555" spans="3:3" ht="12.75" x14ac:dyDescent="0.2">
      <c r="C555" s="19"/>
    </row>
    <row r="556" spans="3:3" ht="12.75" x14ac:dyDescent="0.2">
      <c r="C556" s="19"/>
    </row>
    <row r="557" spans="3:3" ht="12.75" x14ac:dyDescent="0.2">
      <c r="C557" s="19"/>
    </row>
    <row r="558" spans="3:3" ht="12.75" x14ac:dyDescent="0.2">
      <c r="C558" s="19"/>
    </row>
    <row r="559" spans="3:3" ht="12.75" x14ac:dyDescent="0.2">
      <c r="C559" s="19"/>
    </row>
    <row r="560" spans="3:3" ht="12.75" x14ac:dyDescent="0.2">
      <c r="C560" s="19"/>
    </row>
    <row r="561" spans="3:3" ht="12.75" x14ac:dyDescent="0.2">
      <c r="C561" s="19"/>
    </row>
    <row r="562" spans="3:3" ht="12.75" x14ac:dyDescent="0.2">
      <c r="C562" s="19"/>
    </row>
    <row r="563" spans="3:3" ht="12.75" x14ac:dyDescent="0.2">
      <c r="C563" s="19"/>
    </row>
    <row r="564" spans="3:3" ht="12.75" x14ac:dyDescent="0.2">
      <c r="C564" s="19"/>
    </row>
    <row r="565" spans="3:3" ht="12.75" x14ac:dyDescent="0.2">
      <c r="C565" s="19"/>
    </row>
    <row r="566" spans="3:3" ht="12.75" x14ac:dyDescent="0.2">
      <c r="C566" s="19"/>
    </row>
    <row r="567" spans="3:3" ht="12.75" x14ac:dyDescent="0.2">
      <c r="C567" s="19"/>
    </row>
    <row r="568" spans="3:3" ht="12.75" x14ac:dyDescent="0.2">
      <c r="C568" s="19"/>
    </row>
    <row r="569" spans="3:3" ht="12.75" x14ac:dyDescent="0.2">
      <c r="C569" s="19"/>
    </row>
    <row r="570" spans="3:3" ht="12.75" x14ac:dyDescent="0.2">
      <c r="C570" s="19"/>
    </row>
    <row r="571" spans="3:3" ht="12.75" x14ac:dyDescent="0.2">
      <c r="C571" s="19"/>
    </row>
    <row r="572" spans="3:3" ht="12.75" x14ac:dyDescent="0.2">
      <c r="C572" s="19"/>
    </row>
    <row r="573" spans="3:3" ht="12.75" x14ac:dyDescent="0.2">
      <c r="C573" s="19"/>
    </row>
    <row r="574" spans="3:3" ht="12.75" x14ac:dyDescent="0.2">
      <c r="C574" s="19"/>
    </row>
    <row r="575" spans="3:3" ht="12.75" x14ac:dyDescent="0.2">
      <c r="C575" s="19"/>
    </row>
    <row r="576" spans="3:3" ht="12.75" x14ac:dyDescent="0.2">
      <c r="C576" s="19"/>
    </row>
    <row r="577" spans="3:3" ht="12.75" x14ac:dyDescent="0.2">
      <c r="C577" s="19"/>
    </row>
    <row r="578" spans="3:3" ht="12.75" x14ac:dyDescent="0.2">
      <c r="C578" s="19"/>
    </row>
    <row r="579" spans="3:3" ht="12.75" x14ac:dyDescent="0.2">
      <c r="C579" s="19"/>
    </row>
    <row r="580" spans="3:3" ht="12.75" x14ac:dyDescent="0.2">
      <c r="C580" s="19"/>
    </row>
    <row r="581" spans="3:3" ht="12.75" x14ac:dyDescent="0.2">
      <c r="C581" s="19"/>
    </row>
    <row r="582" spans="3:3" ht="12.75" x14ac:dyDescent="0.2">
      <c r="C582" s="19"/>
    </row>
    <row r="583" spans="3:3" ht="12.75" x14ac:dyDescent="0.2">
      <c r="C583" s="19"/>
    </row>
    <row r="584" spans="3:3" ht="12.75" x14ac:dyDescent="0.2">
      <c r="C584" s="19"/>
    </row>
    <row r="585" spans="3:3" ht="12.75" x14ac:dyDescent="0.2">
      <c r="C585" s="19"/>
    </row>
    <row r="586" spans="3:3" ht="12.75" x14ac:dyDescent="0.2">
      <c r="C586" s="19"/>
    </row>
    <row r="587" spans="3:3" ht="12.75" x14ac:dyDescent="0.2">
      <c r="C587" s="19"/>
    </row>
    <row r="588" spans="3:3" ht="12.75" x14ac:dyDescent="0.2">
      <c r="C588" s="19"/>
    </row>
    <row r="589" spans="3:3" ht="12.75" x14ac:dyDescent="0.2">
      <c r="C589" s="19"/>
    </row>
    <row r="590" spans="3:3" ht="12.75" x14ac:dyDescent="0.2">
      <c r="C590" s="19"/>
    </row>
    <row r="591" spans="3:3" ht="12.75" x14ac:dyDescent="0.2">
      <c r="C591" s="19"/>
    </row>
    <row r="592" spans="3:3" ht="12.75" x14ac:dyDescent="0.2">
      <c r="C592" s="19"/>
    </row>
    <row r="593" spans="3:3" ht="12.75" x14ac:dyDescent="0.2">
      <c r="C593" s="19"/>
    </row>
    <row r="594" spans="3:3" ht="12.75" x14ac:dyDescent="0.2">
      <c r="C594" s="19"/>
    </row>
    <row r="595" spans="3:3" ht="12.75" x14ac:dyDescent="0.2">
      <c r="C595" s="19"/>
    </row>
    <row r="596" spans="3:3" ht="12.75" x14ac:dyDescent="0.2">
      <c r="C596" s="19"/>
    </row>
    <row r="597" spans="3:3" ht="12.75" x14ac:dyDescent="0.2">
      <c r="C597" s="19"/>
    </row>
    <row r="598" spans="3:3" ht="12.75" x14ac:dyDescent="0.2">
      <c r="C598" s="19"/>
    </row>
    <row r="599" spans="3:3" ht="12.75" x14ac:dyDescent="0.2">
      <c r="C599" s="19"/>
    </row>
    <row r="600" spans="3:3" ht="12.75" x14ac:dyDescent="0.2">
      <c r="C600" s="19"/>
    </row>
    <row r="601" spans="3:3" ht="12.75" x14ac:dyDescent="0.2">
      <c r="C601" s="19"/>
    </row>
    <row r="602" spans="3:3" ht="12.75" x14ac:dyDescent="0.2">
      <c r="C602" s="19"/>
    </row>
    <row r="603" spans="3:3" ht="12.75" x14ac:dyDescent="0.2">
      <c r="C603" s="19"/>
    </row>
    <row r="604" spans="3:3" ht="12.75" x14ac:dyDescent="0.2">
      <c r="C604" s="19"/>
    </row>
    <row r="605" spans="3:3" ht="12.75" x14ac:dyDescent="0.2">
      <c r="C605" s="19"/>
    </row>
    <row r="606" spans="3:3" ht="12.75" x14ac:dyDescent="0.2">
      <c r="C606" s="19"/>
    </row>
    <row r="607" spans="3:3" ht="12.75" x14ac:dyDescent="0.2">
      <c r="C607" s="19"/>
    </row>
    <row r="608" spans="3:3" ht="12.75" x14ac:dyDescent="0.2">
      <c r="C608" s="19"/>
    </row>
    <row r="609" spans="3:3" ht="12.75" x14ac:dyDescent="0.2">
      <c r="C609" s="19"/>
    </row>
    <row r="610" spans="3:3" ht="12.75" x14ac:dyDescent="0.2">
      <c r="C610" s="19"/>
    </row>
    <row r="611" spans="3:3" ht="12.75" x14ac:dyDescent="0.2">
      <c r="C611" s="19"/>
    </row>
    <row r="612" spans="3:3" ht="12.75" x14ac:dyDescent="0.2">
      <c r="C612" s="19"/>
    </row>
    <row r="613" spans="3:3" ht="12.75" x14ac:dyDescent="0.2">
      <c r="C613" s="19"/>
    </row>
    <row r="614" spans="3:3" ht="12.75" x14ac:dyDescent="0.2">
      <c r="C614" s="19"/>
    </row>
    <row r="615" spans="3:3" ht="12.75" x14ac:dyDescent="0.2">
      <c r="C615" s="19"/>
    </row>
    <row r="616" spans="3:3" ht="12.75" x14ac:dyDescent="0.2">
      <c r="C616" s="19"/>
    </row>
    <row r="617" spans="3:3" ht="12.75" x14ac:dyDescent="0.2">
      <c r="C617" s="19"/>
    </row>
    <row r="618" spans="3:3" ht="12.75" x14ac:dyDescent="0.2">
      <c r="C618" s="19"/>
    </row>
    <row r="619" spans="3:3" ht="12.75" x14ac:dyDescent="0.2">
      <c r="C619" s="19"/>
    </row>
    <row r="620" spans="3:3" ht="12.75" x14ac:dyDescent="0.2">
      <c r="C620" s="19"/>
    </row>
    <row r="621" spans="3:3" ht="12.75" x14ac:dyDescent="0.2">
      <c r="C621" s="19"/>
    </row>
    <row r="622" spans="3:3" ht="12.75" x14ac:dyDescent="0.2">
      <c r="C622" s="19"/>
    </row>
    <row r="623" spans="3:3" ht="12.75" x14ac:dyDescent="0.2">
      <c r="C623" s="19"/>
    </row>
    <row r="624" spans="3:3" ht="12.75" x14ac:dyDescent="0.2">
      <c r="C624" s="19"/>
    </row>
    <row r="625" spans="3:3" ht="12.75" x14ac:dyDescent="0.2">
      <c r="C625" s="19"/>
    </row>
    <row r="626" spans="3:3" ht="12.75" x14ac:dyDescent="0.2">
      <c r="C626" s="19"/>
    </row>
    <row r="627" spans="3:3" ht="12.75" x14ac:dyDescent="0.2">
      <c r="C627" s="19"/>
    </row>
    <row r="628" spans="3:3" ht="12.75" x14ac:dyDescent="0.2">
      <c r="C628" s="19"/>
    </row>
    <row r="629" spans="3:3" ht="12.75" x14ac:dyDescent="0.2">
      <c r="C629" s="19"/>
    </row>
    <row r="630" spans="3:3" ht="12.75" x14ac:dyDescent="0.2">
      <c r="C630" s="19"/>
    </row>
    <row r="631" spans="3:3" ht="12.75" x14ac:dyDescent="0.2">
      <c r="C631" s="19"/>
    </row>
    <row r="632" spans="3:3" ht="12.75" x14ac:dyDescent="0.2">
      <c r="C632" s="19"/>
    </row>
    <row r="633" spans="3:3" ht="12.75" x14ac:dyDescent="0.2">
      <c r="C633" s="19"/>
    </row>
    <row r="634" spans="3:3" ht="12.75" x14ac:dyDescent="0.2">
      <c r="C634" s="19"/>
    </row>
    <row r="635" spans="3:3" ht="12.75" x14ac:dyDescent="0.2">
      <c r="C635" s="19"/>
    </row>
    <row r="636" spans="3:3" ht="12.75" x14ac:dyDescent="0.2">
      <c r="C636" s="19"/>
    </row>
    <row r="637" spans="3:3" ht="12.75" x14ac:dyDescent="0.2">
      <c r="C637" s="19"/>
    </row>
    <row r="638" spans="3:3" ht="12.75" x14ac:dyDescent="0.2">
      <c r="C638" s="19"/>
    </row>
    <row r="639" spans="3:3" ht="12.75" x14ac:dyDescent="0.2">
      <c r="C639" s="19"/>
    </row>
    <row r="640" spans="3:3" ht="12.75" x14ac:dyDescent="0.2">
      <c r="C640" s="19"/>
    </row>
    <row r="641" spans="3:3" ht="12.75" x14ac:dyDescent="0.2">
      <c r="C641" s="19"/>
    </row>
    <row r="642" spans="3:3" ht="12.75" x14ac:dyDescent="0.2">
      <c r="C642" s="19"/>
    </row>
    <row r="643" spans="3:3" ht="12.75" x14ac:dyDescent="0.2">
      <c r="C643" s="19"/>
    </row>
    <row r="644" spans="3:3" ht="12.75" x14ac:dyDescent="0.2">
      <c r="C644" s="19"/>
    </row>
    <row r="645" spans="3:3" ht="12.75" x14ac:dyDescent="0.2">
      <c r="C645" s="19"/>
    </row>
    <row r="646" spans="3:3" ht="12.75" x14ac:dyDescent="0.2">
      <c r="C646" s="19"/>
    </row>
    <row r="647" spans="3:3" ht="12.75" x14ac:dyDescent="0.2">
      <c r="C647" s="19"/>
    </row>
    <row r="648" spans="3:3" ht="12.75" x14ac:dyDescent="0.2">
      <c r="C648" s="19"/>
    </row>
    <row r="649" spans="3:3" ht="12.75" x14ac:dyDescent="0.2">
      <c r="C649" s="19"/>
    </row>
    <row r="650" spans="3:3" ht="12.75" x14ac:dyDescent="0.2">
      <c r="C650" s="19"/>
    </row>
    <row r="651" spans="3:3" ht="12.75" x14ac:dyDescent="0.2">
      <c r="C651" s="19"/>
    </row>
    <row r="652" spans="3:3" ht="12.75" x14ac:dyDescent="0.2">
      <c r="C652" s="19"/>
    </row>
    <row r="653" spans="3:3" ht="12.75" x14ac:dyDescent="0.2">
      <c r="C653" s="19"/>
    </row>
    <row r="654" spans="3:3" ht="12.75" x14ac:dyDescent="0.2">
      <c r="C654" s="19"/>
    </row>
    <row r="655" spans="3:3" ht="12.75" x14ac:dyDescent="0.2">
      <c r="C655" s="19"/>
    </row>
    <row r="656" spans="3:3" ht="12.75" x14ac:dyDescent="0.2">
      <c r="C656" s="19"/>
    </row>
    <row r="657" spans="3:3" ht="12.75" x14ac:dyDescent="0.2">
      <c r="C657" s="19"/>
    </row>
    <row r="658" spans="3:3" ht="12.75" x14ac:dyDescent="0.2">
      <c r="C658" s="19"/>
    </row>
    <row r="659" spans="3:3" ht="12.75" x14ac:dyDescent="0.2">
      <c r="C659" s="19"/>
    </row>
    <row r="660" spans="3:3" ht="12.75" x14ac:dyDescent="0.2">
      <c r="C660" s="19"/>
    </row>
    <row r="661" spans="3:3" ht="12.75" x14ac:dyDescent="0.2">
      <c r="C661" s="19"/>
    </row>
    <row r="662" spans="3:3" ht="12.75" x14ac:dyDescent="0.2">
      <c r="C662" s="19"/>
    </row>
    <row r="663" spans="3:3" ht="12.75" x14ac:dyDescent="0.2">
      <c r="C663" s="19"/>
    </row>
    <row r="664" spans="3:3" ht="12.75" x14ac:dyDescent="0.2">
      <c r="C664" s="19"/>
    </row>
    <row r="665" spans="3:3" ht="12.75" x14ac:dyDescent="0.2">
      <c r="C665" s="19"/>
    </row>
    <row r="666" spans="3:3" ht="12.75" x14ac:dyDescent="0.2">
      <c r="C666" s="19"/>
    </row>
    <row r="667" spans="3:3" ht="12.75" x14ac:dyDescent="0.2">
      <c r="C667" s="19"/>
    </row>
    <row r="668" spans="3:3" ht="12.75" x14ac:dyDescent="0.2">
      <c r="C668" s="19"/>
    </row>
    <row r="669" spans="3:3" ht="12.75" x14ac:dyDescent="0.2">
      <c r="C669" s="19"/>
    </row>
    <row r="670" spans="3:3" ht="12.75" x14ac:dyDescent="0.2">
      <c r="C670" s="19"/>
    </row>
    <row r="671" spans="3:3" ht="12.75" x14ac:dyDescent="0.2">
      <c r="C671" s="19"/>
    </row>
    <row r="672" spans="3:3" ht="12.75" x14ac:dyDescent="0.2">
      <c r="C672" s="19"/>
    </row>
    <row r="673" spans="3:3" ht="12.75" x14ac:dyDescent="0.2">
      <c r="C673" s="19"/>
    </row>
    <row r="674" spans="3:3" ht="12.75" x14ac:dyDescent="0.2">
      <c r="C674" s="19"/>
    </row>
    <row r="675" spans="3:3" ht="12.75" x14ac:dyDescent="0.2">
      <c r="C675" s="19"/>
    </row>
    <row r="676" spans="3:3" ht="12.75" x14ac:dyDescent="0.2">
      <c r="C676" s="19"/>
    </row>
    <row r="677" spans="3:3" ht="12.75" x14ac:dyDescent="0.2">
      <c r="C677" s="19"/>
    </row>
    <row r="678" spans="3:3" ht="12.75" x14ac:dyDescent="0.2">
      <c r="C678" s="19"/>
    </row>
    <row r="679" spans="3:3" ht="12.75" x14ac:dyDescent="0.2">
      <c r="C679" s="19"/>
    </row>
    <row r="680" spans="3:3" ht="12.75" x14ac:dyDescent="0.2">
      <c r="C680" s="19"/>
    </row>
    <row r="681" spans="3:3" ht="12.75" x14ac:dyDescent="0.2">
      <c r="C681" s="19"/>
    </row>
    <row r="682" spans="3:3" ht="12.75" x14ac:dyDescent="0.2">
      <c r="C682" s="19"/>
    </row>
    <row r="683" spans="3:3" ht="12.75" x14ac:dyDescent="0.2">
      <c r="C683" s="19"/>
    </row>
    <row r="684" spans="3:3" ht="12.75" x14ac:dyDescent="0.2">
      <c r="C684" s="19"/>
    </row>
    <row r="685" spans="3:3" ht="12.75" x14ac:dyDescent="0.2">
      <c r="C685" s="19"/>
    </row>
    <row r="686" spans="3:3" ht="12.75" x14ac:dyDescent="0.2">
      <c r="C686" s="19"/>
    </row>
    <row r="687" spans="3:3" ht="12.75" x14ac:dyDescent="0.2">
      <c r="C687" s="19"/>
    </row>
    <row r="688" spans="3:3" ht="12.75" x14ac:dyDescent="0.2">
      <c r="C688" s="19"/>
    </row>
    <row r="689" spans="3:3" ht="12.75" x14ac:dyDescent="0.2">
      <c r="C689" s="19"/>
    </row>
    <row r="690" spans="3:3" ht="12.75" x14ac:dyDescent="0.2">
      <c r="C690" s="19"/>
    </row>
    <row r="691" spans="3:3" ht="12.75" x14ac:dyDescent="0.2">
      <c r="C691" s="19"/>
    </row>
    <row r="692" spans="3:3" ht="12.75" x14ac:dyDescent="0.2">
      <c r="C692" s="19"/>
    </row>
    <row r="693" spans="3:3" ht="12.75" x14ac:dyDescent="0.2">
      <c r="C693" s="19"/>
    </row>
    <row r="694" spans="3:3" ht="12.75" x14ac:dyDescent="0.2">
      <c r="C694" s="19"/>
    </row>
    <row r="695" spans="3:3" ht="12.75" x14ac:dyDescent="0.2">
      <c r="C695" s="19"/>
    </row>
    <row r="696" spans="3:3" ht="12.75" x14ac:dyDescent="0.2">
      <c r="C696" s="19"/>
    </row>
    <row r="697" spans="3:3" ht="12.75" x14ac:dyDescent="0.2">
      <c r="C697" s="19"/>
    </row>
    <row r="698" spans="3:3" ht="12.75" x14ac:dyDescent="0.2">
      <c r="C698" s="19"/>
    </row>
    <row r="699" spans="3:3" ht="12.75" x14ac:dyDescent="0.2">
      <c r="C699" s="19"/>
    </row>
    <row r="700" spans="3:3" ht="12.75" x14ac:dyDescent="0.2">
      <c r="C700" s="19"/>
    </row>
    <row r="701" spans="3:3" ht="12.75" x14ac:dyDescent="0.2">
      <c r="C701" s="19"/>
    </row>
    <row r="702" spans="3:3" ht="12.75" x14ac:dyDescent="0.2">
      <c r="C702" s="19"/>
    </row>
    <row r="703" spans="3:3" ht="12.75" x14ac:dyDescent="0.2">
      <c r="C703" s="19"/>
    </row>
    <row r="704" spans="3:3" ht="12.75" x14ac:dyDescent="0.2">
      <c r="C704" s="19"/>
    </row>
    <row r="705" spans="3:3" ht="12.75" x14ac:dyDescent="0.2">
      <c r="C705" s="19"/>
    </row>
    <row r="706" spans="3:3" ht="12.75" x14ac:dyDescent="0.2">
      <c r="C706" s="19"/>
    </row>
    <row r="707" spans="3:3" ht="12.75" x14ac:dyDescent="0.2">
      <c r="C707" s="19"/>
    </row>
    <row r="708" spans="3:3" ht="12.75" x14ac:dyDescent="0.2">
      <c r="C708" s="19"/>
    </row>
    <row r="709" spans="3:3" ht="12.75" x14ac:dyDescent="0.2">
      <c r="C709" s="19"/>
    </row>
    <row r="710" spans="3:3" ht="12.75" x14ac:dyDescent="0.2">
      <c r="C710" s="19"/>
    </row>
    <row r="711" spans="3:3" ht="12.75" x14ac:dyDescent="0.2">
      <c r="C711" s="19"/>
    </row>
    <row r="712" spans="3:3" ht="12.75" x14ac:dyDescent="0.2">
      <c r="C712" s="19"/>
    </row>
    <row r="713" spans="3:3" ht="12.75" x14ac:dyDescent="0.2">
      <c r="C713" s="19"/>
    </row>
    <row r="714" spans="3:3" ht="12.75" x14ac:dyDescent="0.2">
      <c r="C714" s="19"/>
    </row>
    <row r="715" spans="3:3" ht="12.75" x14ac:dyDescent="0.2">
      <c r="C715" s="19"/>
    </row>
    <row r="716" spans="3:3" ht="12.75" x14ac:dyDescent="0.2">
      <c r="C716" s="19"/>
    </row>
    <row r="717" spans="3:3" ht="12.75" x14ac:dyDescent="0.2">
      <c r="C717" s="19"/>
    </row>
    <row r="718" spans="3:3" ht="12.75" x14ac:dyDescent="0.2">
      <c r="C718" s="19"/>
    </row>
    <row r="719" spans="3:3" ht="12.75" x14ac:dyDescent="0.2">
      <c r="C719" s="19"/>
    </row>
    <row r="720" spans="3:3" ht="12.75" x14ac:dyDescent="0.2">
      <c r="C720" s="19"/>
    </row>
    <row r="721" spans="3:3" ht="12.75" x14ac:dyDescent="0.2">
      <c r="C721" s="19"/>
    </row>
    <row r="722" spans="3:3" ht="12.75" x14ac:dyDescent="0.2">
      <c r="C722" s="19"/>
    </row>
    <row r="723" spans="3:3" ht="12.75" x14ac:dyDescent="0.2">
      <c r="C723" s="19"/>
    </row>
    <row r="724" spans="3:3" ht="12.75" x14ac:dyDescent="0.2">
      <c r="C724" s="19"/>
    </row>
    <row r="725" spans="3:3" ht="12.75" x14ac:dyDescent="0.2">
      <c r="C725" s="19"/>
    </row>
    <row r="726" spans="3:3" ht="12.75" x14ac:dyDescent="0.2">
      <c r="C726" s="19"/>
    </row>
    <row r="727" spans="3:3" ht="12.75" x14ac:dyDescent="0.2">
      <c r="C727" s="19"/>
    </row>
    <row r="728" spans="3:3" ht="12.75" x14ac:dyDescent="0.2">
      <c r="C728" s="19"/>
    </row>
    <row r="729" spans="3:3" ht="12.75" x14ac:dyDescent="0.2">
      <c r="C729" s="19"/>
    </row>
    <row r="730" spans="3:3" ht="12.75" x14ac:dyDescent="0.2">
      <c r="C730" s="19"/>
    </row>
    <row r="731" spans="3:3" ht="12.75" x14ac:dyDescent="0.2">
      <c r="C731" s="19"/>
    </row>
    <row r="732" spans="3:3" ht="12.75" x14ac:dyDescent="0.2">
      <c r="C732" s="19"/>
    </row>
    <row r="733" spans="3:3" ht="12.75" x14ac:dyDescent="0.2">
      <c r="C733" s="19"/>
    </row>
    <row r="734" spans="3:3" ht="12.75" x14ac:dyDescent="0.2">
      <c r="C734" s="19"/>
    </row>
    <row r="735" spans="3:3" ht="12.75" x14ac:dyDescent="0.2">
      <c r="C735" s="19"/>
    </row>
    <row r="736" spans="3:3" ht="12.75" x14ac:dyDescent="0.2">
      <c r="C736" s="19"/>
    </row>
    <row r="737" spans="3:3" ht="12.75" x14ac:dyDescent="0.2">
      <c r="C737" s="19"/>
    </row>
    <row r="738" spans="3:3" ht="12.75" x14ac:dyDescent="0.2">
      <c r="C738" s="19"/>
    </row>
    <row r="739" spans="3:3" ht="12.75" x14ac:dyDescent="0.2">
      <c r="C739" s="19"/>
    </row>
    <row r="740" spans="3:3" ht="12.75" x14ac:dyDescent="0.2">
      <c r="C740" s="19"/>
    </row>
    <row r="741" spans="3:3" ht="12.75" x14ac:dyDescent="0.2">
      <c r="C741" s="19"/>
    </row>
    <row r="742" spans="3:3" ht="12.75" x14ac:dyDescent="0.2">
      <c r="C742" s="19"/>
    </row>
    <row r="743" spans="3:3" ht="12.75" x14ac:dyDescent="0.2">
      <c r="C743" s="19"/>
    </row>
    <row r="744" spans="3:3" ht="12.75" x14ac:dyDescent="0.2">
      <c r="C744" s="19"/>
    </row>
    <row r="745" spans="3:3" ht="12.75" x14ac:dyDescent="0.2">
      <c r="C745" s="19"/>
    </row>
    <row r="746" spans="3:3" ht="12.75" x14ac:dyDescent="0.2">
      <c r="C746" s="19"/>
    </row>
    <row r="747" spans="3:3" ht="12.75" x14ac:dyDescent="0.2">
      <c r="C747" s="19"/>
    </row>
    <row r="748" spans="3:3" ht="12.75" x14ac:dyDescent="0.2">
      <c r="C748" s="19"/>
    </row>
    <row r="749" spans="3:3" ht="12.75" x14ac:dyDescent="0.2">
      <c r="C749" s="19"/>
    </row>
    <row r="750" spans="3:3" ht="12.75" x14ac:dyDescent="0.2">
      <c r="C750" s="19"/>
    </row>
    <row r="751" spans="3:3" ht="12.75" x14ac:dyDescent="0.2">
      <c r="C751" s="19"/>
    </row>
    <row r="752" spans="3:3" ht="12.75" x14ac:dyDescent="0.2">
      <c r="C752" s="19"/>
    </row>
    <row r="753" spans="3:3" ht="12.75" x14ac:dyDescent="0.2">
      <c r="C753" s="19"/>
    </row>
    <row r="754" spans="3:3" ht="12.75" x14ac:dyDescent="0.2">
      <c r="C754" s="19"/>
    </row>
    <row r="755" spans="3:3" ht="12.75" x14ac:dyDescent="0.2">
      <c r="C755" s="19"/>
    </row>
    <row r="756" spans="3:3" ht="12.75" x14ac:dyDescent="0.2">
      <c r="C756" s="19"/>
    </row>
    <row r="757" spans="3:3" ht="12.75" x14ac:dyDescent="0.2">
      <c r="C757" s="19"/>
    </row>
    <row r="758" spans="3:3" ht="12.75" x14ac:dyDescent="0.2">
      <c r="C758" s="19"/>
    </row>
    <row r="759" spans="3:3" ht="12.75" x14ac:dyDescent="0.2">
      <c r="C759" s="19"/>
    </row>
    <row r="760" spans="3:3" ht="12.75" x14ac:dyDescent="0.2">
      <c r="C760" s="19"/>
    </row>
    <row r="761" spans="3:3" ht="12.75" x14ac:dyDescent="0.2">
      <c r="C761" s="19"/>
    </row>
    <row r="762" spans="3:3" ht="12.75" x14ac:dyDescent="0.2">
      <c r="C762" s="19"/>
    </row>
    <row r="763" spans="3:3" ht="12.75" x14ac:dyDescent="0.2">
      <c r="C763" s="19"/>
    </row>
    <row r="764" spans="3:3" ht="12.75" x14ac:dyDescent="0.2">
      <c r="C764" s="19"/>
    </row>
    <row r="765" spans="3:3" ht="12.75" x14ac:dyDescent="0.2">
      <c r="C765" s="19"/>
    </row>
    <row r="766" spans="3:3" ht="12.75" x14ac:dyDescent="0.2">
      <c r="C766" s="19"/>
    </row>
    <row r="767" spans="3:3" ht="12.75" x14ac:dyDescent="0.2">
      <c r="C767" s="19"/>
    </row>
    <row r="768" spans="3:3" ht="12.75" x14ac:dyDescent="0.2">
      <c r="C768" s="19"/>
    </row>
    <row r="769" spans="3:3" ht="12.75" x14ac:dyDescent="0.2">
      <c r="C769" s="19"/>
    </row>
    <row r="770" spans="3:3" ht="12.75" x14ac:dyDescent="0.2">
      <c r="C770" s="19"/>
    </row>
    <row r="771" spans="3:3" ht="12.75" x14ac:dyDescent="0.2">
      <c r="C771" s="19"/>
    </row>
    <row r="772" spans="3:3" ht="12.75" x14ac:dyDescent="0.2">
      <c r="C772" s="19"/>
    </row>
    <row r="773" spans="3:3" ht="12.75" x14ac:dyDescent="0.2">
      <c r="C773" s="19"/>
    </row>
    <row r="774" spans="3:3" ht="12.75" x14ac:dyDescent="0.2">
      <c r="C774" s="19"/>
    </row>
    <row r="775" spans="3:3" ht="12.75" x14ac:dyDescent="0.2">
      <c r="C775" s="19"/>
    </row>
    <row r="776" spans="3:3" ht="12.75" x14ac:dyDescent="0.2">
      <c r="C776" s="19"/>
    </row>
    <row r="777" spans="3:3" ht="12.75" x14ac:dyDescent="0.2">
      <c r="C777" s="19"/>
    </row>
    <row r="778" spans="3:3" ht="12.75" x14ac:dyDescent="0.2">
      <c r="C778" s="19"/>
    </row>
    <row r="779" spans="3:3" ht="12.75" x14ac:dyDescent="0.2">
      <c r="C779" s="19"/>
    </row>
    <row r="780" spans="3:3" ht="12.75" x14ac:dyDescent="0.2">
      <c r="C780" s="19"/>
    </row>
    <row r="781" spans="3:3" ht="12.75" x14ac:dyDescent="0.2">
      <c r="C781" s="19"/>
    </row>
    <row r="782" spans="3:3" ht="12.75" x14ac:dyDescent="0.2">
      <c r="C782" s="19"/>
    </row>
    <row r="783" spans="3:3" ht="12.75" x14ac:dyDescent="0.2">
      <c r="C783" s="19"/>
    </row>
    <row r="784" spans="3:3" ht="12.75" x14ac:dyDescent="0.2">
      <c r="C784" s="19"/>
    </row>
    <row r="785" spans="3:3" ht="12.75" x14ac:dyDescent="0.2">
      <c r="C785" s="19"/>
    </row>
    <row r="786" spans="3:3" ht="12.75" x14ac:dyDescent="0.2">
      <c r="C786" s="19"/>
    </row>
    <row r="787" spans="3:3" ht="12.75" x14ac:dyDescent="0.2">
      <c r="C787" s="19"/>
    </row>
    <row r="788" spans="3:3" ht="12.75" x14ac:dyDescent="0.2">
      <c r="C788" s="19"/>
    </row>
    <row r="789" spans="3:3" ht="12.75" x14ac:dyDescent="0.2">
      <c r="C789" s="19"/>
    </row>
    <row r="790" spans="3:3" ht="12.75" x14ac:dyDescent="0.2">
      <c r="C790" s="19"/>
    </row>
    <row r="791" spans="3:3" ht="12.75" x14ac:dyDescent="0.2">
      <c r="C791" s="19"/>
    </row>
    <row r="792" spans="3:3" ht="12.75" x14ac:dyDescent="0.2">
      <c r="C792" s="19"/>
    </row>
    <row r="793" spans="3:3" ht="12.75" x14ac:dyDescent="0.2">
      <c r="C793" s="19"/>
    </row>
    <row r="794" spans="3:3" ht="12.75" x14ac:dyDescent="0.2">
      <c r="C794" s="19"/>
    </row>
    <row r="795" spans="3:3" ht="12.75" x14ac:dyDescent="0.2">
      <c r="C795" s="19"/>
    </row>
    <row r="796" spans="3:3" ht="12.75" x14ac:dyDescent="0.2">
      <c r="C796" s="19"/>
    </row>
    <row r="797" spans="3:3" ht="12.75" x14ac:dyDescent="0.2">
      <c r="C797" s="19"/>
    </row>
    <row r="798" spans="3:3" ht="12.75" x14ac:dyDescent="0.2">
      <c r="C798" s="19"/>
    </row>
    <row r="799" spans="3:3" ht="12.75" x14ac:dyDescent="0.2">
      <c r="C799" s="19"/>
    </row>
    <row r="800" spans="3:3" ht="12.75" x14ac:dyDescent="0.2">
      <c r="C800" s="19"/>
    </row>
    <row r="801" spans="3:3" ht="12.75" x14ac:dyDescent="0.2">
      <c r="C801" s="19"/>
    </row>
    <row r="802" spans="3:3" ht="12.75" x14ac:dyDescent="0.2">
      <c r="C802" s="19"/>
    </row>
    <row r="803" spans="3:3" ht="12.75" x14ac:dyDescent="0.2">
      <c r="C803" s="19"/>
    </row>
    <row r="804" spans="3:3" ht="12.75" x14ac:dyDescent="0.2">
      <c r="C804" s="19"/>
    </row>
    <row r="805" spans="3:3" ht="12.75" x14ac:dyDescent="0.2">
      <c r="C805" s="19"/>
    </row>
    <row r="806" spans="3:3" ht="12.75" x14ac:dyDescent="0.2">
      <c r="C806" s="19"/>
    </row>
    <row r="807" spans="3:3" ht="12.75" x14ac:dyDescent="0.2">
      <c r="C807" s="19"/>
    </row>
    <row r="808" spans="3:3" ht="12.75" x14ac:dyDescent="0.2">
      <c r="C808" s="19"/>
    </row>
    <row r="809" spans="3:3" ht="12.75" x14ac:dyDescent="0.2">
      <c r="C809" s="19"/>
    </row>
    <row r="810" spans="3:3" ht="12.75" x14ac:dyDescent="0.2">
      <c r="C810" s="19"/>
    </row>
    <row r="811" spans="3:3" ht="12.75" x14ac:dyDescent="0.2">
      <c r="C811" s="19"/>
    </row>
    <row r="812" spans="3:3" ht="12.75" x14ac:dyDescent="0.2">
      <c r="C812" s="19"/>
    </row>
    <row r="813" spans="3:3" ht="12.75" x14ac:dyDescent="0.2">
      <c r="C813" s="19"/>
    </row>
    <row r="814" spans="3:3" ht="12.75" x14ac:dyDescent="0.2">
      <c r="C814" s="19"/>
    </row>
    <row r="815" spans="3:3" ht="12.75" x14ac:dyDescent="0.2">
      <c r="C815" s="19"/>
    </row>
    <row r="816" spans="3:3" ht="12.75" x14ac:dyDescent="0.2">
      <c r="C816" s="19"/>
    </row>
    <row r="817" spans="3:3" ht="12.75" x14ac:dyDescent="0.2">
      <c r="C817" s="19"/>
    </row>
    <row r="818" spans="3:3" ht="12.75" x14ac:dyDescent="0.2">
      <c r="C818" s="19"/>
    </row>
    <row r="819" spans="3:3" ht="12.75" x14ac:dyDescent="0.2">
      <c r="C819" s="19"/>
    </row>
    <row r="820" spans="3:3" ht="12.75" x14ac:dyDescent="0.2">
      <c r="C820" s="19"/>
    </row>
    <row r="821" spans="3:3" ht="12.75" x14ac:dyDescent="0.2">
      <c r="C821" s="19"/>
    </row>
    <row r="822" spans="3:3" ht="12.75" x14ac:dyDescent="0.2">
      <c r="C822" s="19"/>
    </row>
    <row r="823" spans="3:3" ht="12.75" x14ac:dyDescent="0.2">
      <c r="C823" s="19"/>
    </row>
    <row r="824" spans="3:3" ht="12.75" x14ac:dyDescent="0.2">
      <c r="C824" s="19"/>
    </row>
    <row r="825" spans="3:3" ht="12.75" x14ac:dyDescent="0.2">
      <c r="C825" s="19"/>
    </row>
    <row r="826" spans="3:3" ht="12.75" x14ac:dyDescent="0.2">
      <c r="C826" s="19"/>
    </row>
    <row r="827" spans="3:3" ht="12.75" x14ac:dyDescent="0.2">
      <c r="C827" s="19"/>
    </row>
    <row r="828" spans="3:3" ht="12.75" x14ac:dyDescent="0.2">
      <c r="C828" s="19"/>
    </row>
    <row r="829" spans="3:3" ht="12.75" x14ac:dyDescent="0.2">
      <c r="C829" s="19"/>
    </row>
    <row r="830" spans="3:3" ht="12.75" x14ac:dyDescent="0.2">
      <c r="C830" s="19"/>
    </row>
    <row r="831" spans="3:3" ht="12.75" x14ac:dyDescent="0.2">
      <c r="C831" s="19"/>
    </row>
    <row r="832" spans="3:3" ht="12.75" x14ac:dyDescent="0.2">
      <c r="C832" s="19"/>
    </row>
    <row r="833" spans="3:3" ht="12.75" x14ac:dyDescent="0.2">
      <c r="C833" s="19"/>
    </row>
    <row r="834" spans="3:3" ht="12.75" x14ac:dyDescent="0.2">
      <c r="C834" s="19"/>
    </row>
    <row r="835" spans="3:3" ht="12.75" x14ac:dyDescent="0.2">
      <c r="C835" s="19"/>
    </row>
    <row r="836" spans="3:3" ht="12.75" x14ac:dyDescent="0.2">
      <c r="C836" s="19"/>
    </row>
    <row r="837" spans="3:3" ht="12.75" x14ac:dyDescent="0.2">
      <c r="C837" s="19"/>
    </row>
    <row r="838" spans="3:3" ht="12.75" x14ac:dyDescent="0.2">
      <c r="C838" s="19"/>
    </row>
    <row r="839" spans="3:3" ht="12.75" x14ac:dyDescent="0.2">
      <c r="C839" s="19"/>
    </row>
    <row r="840" spans="3:3" ht="12.75" x14ac:dyDescent="0.2">
      <c r="C840" s="19"/>
    </row>
    <row r="841" spans="3:3" ht="12.75" x14ac:dyDescent="0.2">
      <c r="C841" s="19"/>
    </row>
    <row r="842" spans="3:3" ht="12.75" x14ac:dyDescent="0.2">
      <c r="C842" s="19"/>
    </row>
    <row r="843" spans="3:3" ht="12.75" x14ac:dyDescent="0.2">
      <c r="C843" s="19"/>
    </row>
    <row r="844" spans="3:3" ht="12.75" x14ac:dyDescent="0.2">
      <c r="C844" s="19"/>
    </row>
    <row r="845" spans="3:3" ht="12.75" x14ac:dyDescent="0.2">
      <c r="C845" s="19"/>
    </row>
    <row r="846" spans="3:3" ht="12.75" x14ac:dyDescent="0.2">
      <c r="C846" s="19"/>
    </row>
    <row r="847" spans="3:3" ht="12.75" x14ac:dyDescent="0.2">
      <c r="C847" s="19"/>
    </row>
    <row r="848" spans="3:3" ht="12.75" x14ac:dyDescent="0.2">
      <c r="C848" s="19"/>
    </row>
    <row r="849" spans="3:3" ht="12.75" x14ac:dyDescent="0.2">
      <c r="C849" s="19"/>
    </row>
    <row r="850" spans="3:3" ht="12.75" x14ac:dyDescent="0.2">
      <c r="C850" s="19"/>
    </row>
    <row r="851" spans="3:3" ht="12.75" x14ac:dyDescent="0.2">
      <c r="C851" s="19"/>
    </row>
    <row r="852" spans="3:3" ht="12.75" x14ac:dyDescent="0.2">
      <c r="C852" s="19"/>
    </row>
    <row r="853" spans="3:3" ht="12.75" x14ac:dyDescent="0.2">
      <c r="C853" s="19"/>
    </row>
    <row r="854" spans="3:3" ht="12.75" x14ac:dyDescent="0.2">
      <c r="C854" s="19"/>
    </row>
    <row r="855" spans="3:3" ht="12.75" x14ac:dyDescent="0.2">
      <c r="C855" s="19"/>
    </row>
    <row r="856" spans="3:3" ht="12.75" x14ac:dyDescent="0.2">
      <c r="C856" s="19"/>
    </row>
    <row r="857" spans="3:3" ht="12.75" x14ac:dyDescent="0.2">
      <c r="C857" s="19"/>
    </row>
    <row r="858" spans="3:3" ht="12.75" x14ac:dyDescent="0.2">
      <c r="C858" s="19"/>
    </row>
    <row r="859" spans="3:3" ht="12.75" x14ac:dyDescent="0.2">
      <c r="C859" s="19"/>
    </row>
    <row r="860" spans="3:3" ht="12.75" x14ac:dyDescent="0.2">
      <c r="C860" s="19"/>
    </row>
    <row r="861" spans="3:3" ht="12.75" x14ac:dyDescent="0.2">
      <c r="C861" s="19"/>
    </row>
    <row r="862" spans="3:3" ht="12.75" x14ac:dyDescent="0.2">
      <c r="C862" s="19"/>
    </row>
    <row r="863" spans="3:3" ht="12.75" x14ac:dyDescent="0.2">
      <c r="C863" s="19"/>
    </row>
    <row r="864" spans="3:3" ht="12.75" x14ac:dyDescent="0.2">
      <c r="C864" s="19"/>
    </row>
    <row r="865" spans="3:3" ht="12.75" x14ac:dyDescent="0.2">
      <c r="C865" s="19"/>
    </row>
    <row r="866" spans="3:3" ht="12.75" x14ac:dyDescent="0.2">
      <c r="C866" s="19"/>
    </row>
    <row r="867" spans="3:3" ht="12.75" x14ac:dyDescent="0.2">
      <c r="C867" s="19"/>
    </row>
    <row r="868" spans="3:3" ht="12.75" x14ac:dyDescent="0.2">
      <c r="C868" s="19"/>
    </row>
    <row r="869" spans="3:3" ht="12.75" x14ac:dyDescent="0.2">
      <c r="C869" s="19"/>
    </row>
    <row r="870" spans="3:3" ht="12.75" x14ac:dyDescent="0.2">
      <c r="C870" s="19"/>
    </row>
    <row r="871" spans="3:3" ht="12.75" x14ac:dyDescent="0.2">
      <c r="C871" s="19"/>
    </row>
    <row r="872" spans="3:3" ht="12.75" x14ac:dyDescent="0.2">
      <c r="C872" s="19"/>
    </row>
    <row r="873" spans="3:3" ht="12.75" x14ac:dyDescent="0.2">
      <c r="C873" s="19"/>
    </row>
    <row r="874" spans="3:3" ht="12.75" x14ac:dyDescent="0.2">
      <c r="C874" s="19"/>
    </row>
    <row r="875" spans="3:3" ht="12.75" x14ac:dyDescent="0.2">
      <c r="C875" s="19"/>
    </row>
    <row r="876" spans="3:3" ht="12.75" x14ac:dyDescent="0.2">
      <c r="C876" s="19"/>
    </row>
    <row r="877" spans="3:3" ht="12.75" x14ac:dyDescent="0.2">
      <c r="C877" s="19"/>
    </row>
    <row r="878" spans="3:3" ht="12.75" x14ac:dyDescent="0.2">
      <c r="C878" s="19"/>
    </row>
    <row r="879" spans="3:3" ht="12.75" x14ac:dyDescent="0.2">
      <c r="C879" s="19"/>
    </row>
    <row r="880" spans="3:3" ht="12.75" x14ac:dyDescent="0.2">
      <c r="C880" s="19"/>
    </row>
    <row r="881" spans="3:3" ht="12.75" x14ac:dyDescent="0.2">
      <c r="C881" s="19"/>
    </row>
    <row r="882" spans="3:3" ht="12.75" x14ac:dyDescent="0.2">
      <c r="C882" s="19"/>
    </row>
    <row r="883" spans="3:3" ht="12.75" x14ac:dyDescent="0.2">
      <c r="C883" s="19"/>
    </row>
    <row r="884" spans="3:3" ht="12.75" x14ac:dyDescent="0.2">
      <c r="C884" s="19"/>
    </row>
    <row r="885" spans="3:3" ht="12.75" x14ac:dyDescent="0.2">
      <c r="C885" s="19"/>
    </row>
    <row r="886" spans="3:3" ht="12.75" x14ac:dyDescent="0.2">
      <c r="C886" s="19"/>
    </row>
    <row r="887" spans="3:3" ht="12.75" x14ac:dyDescent="0.2">
      <c r="C887" s="19"/>
    </row>
    <row r="888" spans="3:3" ht="12.75" x14ac:dyDescent="0.2">
      <c r="C888" s="19"/>
    </row>
    <row r="889" spans="3:3" ht="12.75" x14ac:dyDescent="0.2">
      <c r="C889" s="19"/>
    </row>
    <row r="890" spans="3:3" ht="12.75" x14ac:dyDescent="0.2">
      <c r="C890" s="19"/>
    </row>
    <row r="891" spans="3:3" ht="12.75" x14ac:dyDescent="0.2">
      <c r="C891" s="19"/>
    </row>
    <row r="892" spans="3:3" ht="12.75" x14ac:dyDescent="0.2">
      <c r="C892" s="19"/>
    </row>
    <row r="893" spans="3:3" ht="12.75" x14ac:dyDescent="0.2">
      <c r="C893" s="19"/>
    </row>
    <row r="894" spans="3:3" ht="12.75" x14ac:dyDescent="0.2">
      <c r="C894" s="19"/>
    </row>
    <row r="895" spans="3:3" ht="12.75" x14ac:dyDescent="0.2">
      <c r="C895" s="19"/>
    </row>
    <row r="896" spans="3:3" ht="12.75" x14ac:dyDescent="0.2">
      <c r="C896" s="19"/>
    </row>
    <row r="897" spans="3:3" ht="12.75" x14ac:dyDescent="0.2">
      <c r="C897" s="19"/>
    </row>
    <row r="898" spans="3:3" ht="12.75" x14ac:dyDescent="0.2">
      <c r="C898" s="19"/>
    </row>
    <row r="899" spans="3:3" ht="12.75" x14ac:dyDescent="0.2">
      <c r="C899" s="19"/>
    </row>
    <row r="900" spans="3:3" ht="12.75" x14ac:dyDescent="0.2">
      <c r="C900" s="19"/>
    </row>
    <row r="901" spans="3:3" ht="12.75" x14ac:dyDescent="0.2">
      <c r="C901" s="19"/>
    </row>
    <row r="902" spans="3:3" ht="12.75" x14ac:dyDescent="0.2">
      <c r="C902" s="19"/>
    </row>
    <row r="903" spans="3:3" ht="12.75" x14ac:dyDescent="0.2">
      <c r="C903" s="19"/>
    </row>
    <row r="904" spans="3:3" ht="12.75" x14ac:dyDescent="0.2">
      <c r="C904" s="19"/>
    </row>
    <row r="905" spans="3:3" ht="12.75" x14ac:dyDescent="0.2">
      <c r="C905" s="19"/>
    </row>
    <row r="906" spans="3:3" ht="12.75" x14ac:dyDescent="0.2">
      <c r="C906" s="19"/>
    </row>
    <row r="907" spans="3:3" ht="12.75" x14ac:dyDescent="0.2">
      <c r="C907" s="19"/>
    </row>
    <row r="908" spans="3:3" ht="12.75" x14ac:dyDescent="0.2">
      <c r="C908" s="19"/>
    </row>
    <row r="909" spans="3:3" ht="12.75" x14ac:dyDescent="0.2">
      <c r="C909" s="19"/>
    </row>
    <row r="910" spans="3:3" ht="12.75" x14ac:dyDescent="0.2">
      <c r="C910" s="19"/>
    </row>
    <row r="911" spans="3:3" ht="12.75" x14ac:dyDescent="0.2">
      <c r="C911" s="19"/>
    </row>
    <row r="912" spans="3:3" ht="12.75" x14ac:dyDescent="0.2">
      <c r="C912" s="19"/>
    </row>
    <row r="913" spans="3:3" ht="12.75" x14ac:dyDescent="0.2">
      <c r="C913" s="19"/>
    </row>
    <row r="914" spans="3:3" ht="12.75" x14ac:dyDescent="0.2">
      <c r="C914" s="19"/>
    </row>
    <row r="915" spans="3:3" ht="12.75" x14ac:dyDescent="0.2">
      <c r="C915" s="19"/>
    </row>
    <row r="916" spans="3:3" ht="12.75" x14ac:dyDescent="0.2">
      <c r="C916" s="19"/>
    </row>
    <row r="917" spans="3:3" ht="12.75" x14ac:dyDescent="0.2">
      <c r="C917" s="19"/>
    </row>
    <row r="918" spans="3:3" ht="12.75" x14ac:dyDescent="0.2">
      <c r="C918" s="19"/>
    </row>
    <row r="919" spans="3:3" ht="12.75" x14ac:dyDescent="0.2">
      <c r="C919" s="19"/>
    </row>
    <row r="920" spans="3:3" ht="12.75" x14ac:dyDescent="0.2">
      <c r="C920" s="19"/>
    </row>
    <row r="921" spans="3:3" ht="12.75" x14ac:dyDescent="0.2">
      <c r="C921" s="19"/>
    </row>
    <row r="922" spans="3:3" ht="12.75" x14ac:dyDescent="0.2">
      <c r="C922" s="19"/>
    </row>
    <row r="923" spans="3:3" ht="12.75" x14ac:dyDescent="0.2">
      <c r="C923" s="19"/>
    </row>
    <row r="924" spans="3:3" ht="12.75" x14ac:dyDescent="0.2">
      <c r="C924" s="19"/>
    </row>
    <row r="925" spans="3:3" ht="12.75" x14ac:dyDescent="0.2">
      <c r="C925" s="19"/>
    </row>
    <row r="926" spans="3:3" ht="12.75" x14ac:dyDescent="0.2">
      <c r="C926" s="19"/>
    </row>
    <row r="927" spans="3:3" ht="12.75" x14ac:dyDescent="0.2">
      <c r="C927" s="19"/>
    </row>
    <row r="928" spans="3:3" ht="12.75" x14ac:dyDescent="0.2">
      <c r="C928" s="19"/>
    </row>
    <row r="929" spans="3:3" ht="12.75" x14ac:dyDescent="0.2">
      <c r="C929" s="19"/>
    </row>
    <row r="930" spans="3:3" ht="12.75" x14ac:dyDescent="0.2">
      <c r="C930" s="19"/>
    </row>
    <row r="931" spans="3:3" ht="12.75" x14ac:dyDescent="0.2">
      <c r="C931" s="19"/>
    </row>
    <row r="932" spans="3:3" ht="12.75" x14ac:dyDescent="0.2">
      <c r="C932" s="19"/>
    </row>
    <row r="933" spans="3:3" ht="12.75" x14ac:dyDescent="0.2">
      <c r="C933" s="19"/>
    </row>
    <row r="934" spans="3:3" ht="12.75" x14ac:dyDescent="0.2">
      <c r="C934" s="19"/>
    </row>
    <row r="935" spans="3:3" ht="12.75" x14ac:dyDescent="0.2">
      <c r="C935" s="19"/>
    </row>
    <row r="936" spans="3:3" ht="12.75" x14ac:dyDescent="0.2">
      <c r="C936" s="19"/>
    </row>
    <row r="937" spans="3:3" ht="12.75" x14ac:dyDescent="0.2">
      <c r="C937" s="19"/>
    </row>
    <row r="938" spans="3:3" ht="12.75" x14ac:dyDescent="0.2">
      <c r="C938" s="19"/>
    </row>
    <row r="939" spans="3:3" ht="12.75" x14ac:dyDescent="0.2">
      <c r="C939" s="19"/>
    </row>
    <row r="940" spans="3:3" ht="12.75" x14ac:dyDescent="0.2">
      <c r="C940" s="19"/>
    </row>
    <row r="941" spans="3:3" ht="12.75" x14ac:dyDescent="0.2">
      <c r="C941" s="19"/>
    </row>
    <row r="942" spans="3:3" ht="12.75" x14ac:dyDescent="0.2">
      <c r="C942" s="19"/>
    </row>
    <row r="943" spans="3:3" ht="12.75" x14ac:dyDescent="0.2">
      <c r="C943" s="19"/>
    </row>
    <row r="944" spans="3:3" ht="12.75" x14ac:dyDescent="0.2">
      <c r="C944" s="19"/>
    </row>
    <row r="945" spans="3:3" ht="12.75" x14ac:dyDescent="0.2">
      <c r="C945" s="19"/>
    </row>
    <row r="946" spans="3:3" ht="12.75" x14ac:dyDescent="0.2">
      <c r="C946" s="19"/>
    </row>
    <row r="947" spans="3:3" ht="12.75" x14ac:dyDescent="0.2">
      <c r="C947" s="19"/>
    </row>
    <row r="948" spans="3:3" ht="12.75" x14ac:dyDescent="0.2">
      <c r="C948" s="19"/>
    </row>
    <row r="949" spans="3:3" ht="12.75" x14ac:dyDescent="0.2">
      <c r="C949" s="19"/>
    </row>
    <row r="950" spans="3:3" ht="12.75" x14ac:dyDescent="0.2">
      <c r="C950" s="19"/>
    </row>
    <row r="951" spans="3:3" ht="12.75" x14ac:dyDescent="0.2">
      <c r="C951" s="19"/>
    </row>
    <row r="952" spans="3:3" ht="12.75" x14ac:dyDescent="0.2">
      <c r="C952" s="19"/>
    </row>
    <row r="953" spans="3:3" ht="12.75" x14ac:dyDescent="0.2">
      <c r="C953" s="19"/>
    </row>
    <row r="954" spans="3:3" ht="12.75" x14ac:dyDescent="0.2">
      <c r="C954" s="19"/>
    </row>
    <row r="955" spans="3:3" ht="12.75" x14ac:dyDescent="0.2">
      <c r="C955" s="19"/>
    </row>
    <row r="956" spans="3:3" ht="12.75" x14ac:dyDescent="0.2">
      <c r="C956" s="19"/>
    </row>
    <row r="957" spans="3:3" ht="12.75" x14ac:dyDescent="0.2">
      <c r="C957" s="19"/>
    </row>
    <row r="958" spans="3:3" ht="12.75" x14ac:dyDescent="0.2">
      <c r="C958" s="19"/>
    </row>
    <row r="959" spans="3:3" ht="12.75" x14ac:dyDescent="0.2">
      <c r="C959" s="19"/>
    </row>
    <row r="960" spans="3:3" ht="12.75" x14ac:dyDescent="0.2">
      <c r="C960" s="19"/>
    </row>
    <row r="961" spans="3:3" ht="12.75" x14ac:dyDescent="0.2">
      <c r="C961" s="19"/>
    </row>
    <row r="962" spans="3:3" ht="12.75" x14ac:dyDescent="0.2">
      <c r="C962" s="19"/>
    </row>
    <row r="963" spans="3:3" ht="12.75" x14ac:dyDescent="0.2">
      <c r="C963" s="19"/>
    </row>
    <row r="964" spans="3:3" ht="12.75" x14ac:dyDescent="0.2">
      <c r="C964" s="19"/>
    </row>
    <row r="965" spans="3:3" ht="12.75" x14ac:dyDescent="0.2">
      <c r="C965" s="19"/>
    </row>
    <row r="966" spans="3:3" ht="12.75" x14ac:dyDescent="0.2">
      <c r="C966" s="19"/>
    </row>
    <row r="967" spans="3:3" ht="12.75" x14ac:dyDescent="0.2">
      <c r="C967" s="19"/>
    </row>
    <row r="968" spans="3:3" ht="12.75" x14ac:dyDescent="0.2">
      <c r="C968" s="19"/>
    </row>
    <row r="969" spans="3:3" ht="12.75" x14ac:dyDescent="0.2">
      <c r="C969" s="19"/>
    </row>
    <row r="970" spans="3:3" ht="12.75" x14ac:dyDescent="0.2">
      <c r="C970" s="19"/>
    </row>
    <row r="971" spans="3:3" ht="12.75" x14ac:dyDescent="0.2">
      <c r="C971" s="19"/>
    </row>
    <row r="972" spans="3:3" ht="12.75" x14ac:dyDescent="0.2">
      <c r="C972" s="19"/>
    </row>
    <row r="973" spans="3:3" ht="12.75" x14ac:dyDescent="0.2">
      <c r="C973" s="19"/>
    </row>
    <row r="974" spans="3:3" ht="12.75" x14ac:dyDescent="0.2">
      <c r="C974" s="19"/>
    </row>
    <row r="975" spans="3:3" ht="12.75" x14ac:dyDescent="0.2">
      <c r="C975" s="19"/>
    </row>
    <row r="976" spans="3:3" ht="12.75" x14ac:dyDescent="0.2">
      <c r="C976" s="19"/>
    </row>
    <row r="977" spans="3:3" ht="12.75" x14ac:dyDescent="0.2">
      <c r="C977" s="19"/>
    </row>
    <row r="978" spans="3:3" ht="12.75" x14ac:dyDescent="0.2">
      <c r="C978" s="19"/>
    </row>
    <row r="979" spans="3:3" ht="12.75" x14ac:dyDescent="0.2">
      <c r="C979" s="19"/>
    </row>
    <row r="980" spans="3:3" ht="12.75" x14ac:dyDescent="0.2">
      <c r="C980" s="19"/>
    </row>
    <row r="981" spans="3:3" ht="12.75" x14ac:dyDescent="0.2">
      <c r="C981" s="19"/>
    </row>
    <row r="982" spans="3:3" ht="12.75" x14ac:dyDescent="0.2">
      <c r="C982" s="19"/>
    </row>
    <row r="983" spans="3:3" ht="12.75" x14ac:dyDescent="0.2">
      <c r="C983" s="19"/>
    </row>
    <row r="984" spans="3:3" ht="12.75" x14ac:dyDescent="0.2">
      <c r="C984" s="19"/>
    </row>
    <row r="985" spans="3:3" ht="12.75" x14ac:dyDescent="0.2">
      <c r="C985" s="19"/>
    </row>
    <row r="986" spans="3:3" ht="12.75" x14ac:dyDescent="0.2">
      <c r="C986" s="19"/>
    </row>
    <row r="987" spans="3:3" ht="12.75" x14ac:dyDescent="0.2">
      <c r="C987" s="19"/>
    </row>
    <row r="988" spans="3:3" ht="12.75" x14ac:dyDescent="0.2">
      <c r="C988" s="19"/>
    </row>
    <row r="989" spans="3:3" ht="12.75" x14ac:dyDescent="0.2">
      <c r="C989" s="19"/>
    </row>
    <row r="990" spans="3:3" ht="12.75" x14ac:dyDescent="0.2">
      <c r="C990" s="19"/>
    </row>
    <row r="991" spans="3:3" ht="12.75" x14ac:dyDescent="0.2">
      <c r="C991" s="19"/>
    </row>
    <row r="992" spans="3:3" ht="12.75" x14ac:dyDescent="0.2">
      <c r="C992" s="19"/>
    </row>
    <row r="993" spans="3:3" ht="12.75" x14ac:dyDescent="0.2">
      <c r="C993" s="19"/>
    </row>
    <row r="994" spans="3:3" ht="12.75" x14ac:dyDescent="0.2">
      <c r="C994" s="19"/>
    </row>
    <row r="995" spans="3:3" ht="12.75" x14ac:dyDescent="0.2">
      <c r="C995" s="19"/>
    </row>
    <row r="996" spans="3:3" ht="12.75" x14ac:dyDescent="0.2">
      <c r="C996" s="19"/>
    </row>
    <row r="997" spans="3:3" ht="12.75" x14ac:dyDescent="0.2">
      <c r="C997" s="19"/>
    </row>
    <row r="998" spans="3:3" ht="12.75" x14ac:dyDescent="0.2">
      <c r="C998" s="19"/>
    </row>
    <row r="999" spans="3:3" ht="12.75" x14ac:dyDescent="0.2">
      <c r="C999" s="19"/>
    </row>
    <row r="1000" spans="3:3" ht="12.75" x14ac:dyDescent="0.2">
      <c r="C1000" s="19"/>
    </row>
    <row r="1001" spans="3:3" ht="12.75" x14ac:dyDescent="0.2">
      <c r="C1001" s="19"/>
    </row>
    <row r="1002" spans="3:3" ht="12.75" x14ac:dyDescent="0.2">
      <c r="C1002" s="19"/>
    </row>
    <row r="1003" spans="3:3" ht="12.75" x14ac:dyDescent="0.2">
      <c r="C1003" s="19"/>
    </row>
    <row r="1004" spans="3:3" ht="12.75" x14ac:dyDescent="0.2">
      <c r="C1004" s="19"/>
    </row>
  </sheetData>
  <mergeCells count="3">
    <mergeCell ref="B43:B44"/>
    <mergeCell ref="B55:B56"/>
    <mergeCell ref="B33:C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topLeftCell="D1" zoomScale="85" zoomScaleNormal="85" workbookViewId="0">
      <selection activeCell="E2" sqref="E2:E29"/>
    </sheetView>
  </sheetViews>
  <sheetFormatPr defaultColWidth="14.42578125" defaultRowHeight="15.75" customHeight="1" x14ac:dyDescent="0.2"/>
  <cols>
    <col min="1" max="3" width="0" hidden="1" customWidth="1"/>
    <col min="5" max="5" width="32.28515625" bestFit="1" customWidth="1"/>
    <col min="6" max="6" width="10.85546875" hidden="1" customWidth="1"/>
    <col min="7" max="7" width="166" hidden="1" customWidth="1"/>
    <col min="12" max="12" width="16.5703125" customWidth="1"/>
  </cols>
  <sheetData>
    <row r="1" spans="1:16" ht="15.75" customHeight="1" x14ac:dyDescent="0.2">
      <c r="E1" s="1" t="s">
        <v>0</v>
      </c>
      <c r="F1" s="2"/>
      <c r="G1" s="43"/>
      <c r="I1" s="1" t="s">
        <v>1</v>
      </c>
      <c r="J1" s="2"/>
      <c r="L1" s="1" t="s">
        <v>2</v>
      </c>
      <c r="M1" s="2"/>
      <c r="O1" s="1" t="s">
        <v>3</v>
      </c>
      <c r="P1" s="2"/>
    </row>
    <row r="2" spans="1:16" ht="15.75" customHeight="1" x14ac:dyDescent="0.2">
      <c r="A2" t="s">
        <v>316</v>
      </c>
      <c r="B2" t="str">
        <f t="shared" ref="B2:B29" si="0">CONCATENATE("INSERT INTO TABELLE_PARAMETRI (DOMINIO,DESCRIZIONE) VALUES ('GAS','",E2,"');")</f>
        <v>INSERT INTO TABELLE_PARAMETRI (DOMINIO,DESCRIZIONE) VALUES ('GAS','C2H2');</v>
      </c>
      <c r="D2" t="str">
        <f>CONCATENATE("&lt;option value='",E2,"'&gt;",E2,"&lt;/option&gt;")</f>
        <v>&lt;option value='C2H2'&gt;C2H2&lt;/option&gt;</v>
      </c>
      <c r="E2" s="3" t="s">
        <v>4</v>
      </c>
      <c r="F2" s="4" t="str">
        <f>CONCATENATE("INSERT INTO PARA (DOMINIO,CODICE,ID_UTENTE_INS) VALUES ('GAS','",A2,"',(SELECT ID_UTENTE FROM UTENTI WHERE USERNAME='armando.canto@airliquide.com'));")</f>
        <v>INSERT INTO PARA (DOMINIO,CODICE,ID_UTENTE_INS) VALUES ('GAS','G01',(SELECT ID_UTENTE FROM UTENTI WHERE USERNAME='armando.canto@airliquide.com'));</v>
      </c>
      <c r="G2" s="4" t="str">
        <f>CONCATENATE("INSERT INTO PARAMETRI_LINGUE (ID_PARA,ID_LINGUE_ISO,DESCRIZIONE) VALUES ((SELECT ID_PARA FROM PARA WHERE DOMINIO='GAS' AND CODICE='",A2,"'),0,'",E2,"');")</f>
        <v>INSERT INTO PARAMETRI_LINGUE (ID_PARA,ID_LINGUE_ISO,DESCRIZIONE) VALUES ((SELECT ID_PARA FROM PARA WHERE DOMINIO='GAS' AND CODICE='G01'),0,'C2H2');</v>
      </c>
      <c r="H2" t="str">
        <f>CONCATENATE("&lt;option value='",I2,"'&gt;",I2,"&lt;/option&gt;")</f>
        <v>&lt;option value='Buretta Claude'&gt;Buretta Claude&lt;/option&gt;</v>
      </c>
      <c r="I2" s="3" t="s">
        <v>5</v>
      </c>
      <c r="J2" s="4"/>
      <c r="K2" t="str">
        <f>CONCATENATE("&lt;option value='",L2,"'&gt;",L2,"&lt;/option&gt;")</f>
        <v>&lt;option value='1 analisi / lotto carburo'&gt;1 analisi / lotto carburo&lt;/option&gt;</v>
      </c>
      <c r="L2" s="3" t="s">
        <v>6</v>
      </c>
      <c r="M2" s="4"/>
      <c r="N2" t="str">
        <f>CONCATENATE("&lt;option value='",O2,"'&gt;",O2,"&lt;/option&gt;")</f>
        <v>&lt;option value='N2'&gt;N2&lt;/option&gt;</v>
      </c>
      <c r="O2" s="3" t="s">
        <v>7</v>
      </c>
      <c r="P2" s="4"/>
    </row>
    <row r="3" spans="1:16" ht="15.75" customHeight="1" x14ac:dyDescent="0.2">
      <c r="A3" t="s">
        <v>317</v>
      </c>
      <c r="B3" t="str">
        <f t="shared" si="0"/>
        <v>INSERT INTO TABELLE_PARAMETRI (DOMINIO,DESCRIZIONE) VALUES ('GAS','C2H4');</v>
      </c>
      <c r="D3" t="str">
        <f t="shared" ref="D3:D29" si="1">CONCATENATE("&lt;option value='",E3,"'&gt;",E3,"&lt;/option&gt;")</f>
        <v>&lt;option value='C2H4'&gt;C2H4&lt;/option&gt;</v>
      </c>
      <c r="E3" s="3" t="s">
        <v>8</v>
      </c>
      <c r="F3" s="4" t="str">
        <f t="shared" ref="F3:F29" si="2">CONCATENATE("INSERT INTO PARA (DOMINIO,CODICE,ID_UTENTE_INS) VALUES ('GAS','",A3,"',(SELECT ID_UTENTE FROM UTENTI WHERE USERNAME='armando.canto@airliquide.com'));")</f>
        <v>INSERT INTO PARA (DOMINIO,CODICE,ID_UTENTE_INS) VALUES ('GAS','G02',(SELECT ID_UTENTE FROM UTENTI WHERE USERNAME='armando.canto@airliquide.com'));</v>
      </c>
      <c r="G3" s="4" t="str">
        <f t="shared" ref="G3:G29" si="3">CONCATENATE("INSERT INTO PARAMETRI_LINGUE (ID_PARA,ID_LINGUE_ISO,DESCRIZIONE) VALUES ((SELECT ID_PARA FROM PARA WHERE DOMINIO='GAS' AND CODICE='",A3,"'),0,'",E3,"');")</f>
        <v>INSERT INTO PARAMETRI_LINGUE (ID_PARA,ID_LINGUE_ISO,DESCRIZIONE) VALUES ((SELECT ID_PARA FROM PARA WHERE DOMINIO='GAS' AND CODICE='G02'),0,'C2H4');</v>
      </c>
      <c r="H3" t="str">
        <f t="shared" ref="H3:H15" si="4">CONCATENATE("&lt;option value='",I3,"'&gt;",I3,"&lt;/option&gt;")</f>
        <v>&lt;option value='EL'&gt;EL&lt;/option&gt;</v>
      </c>
      <c r="I3" s="3" t="s">
        <v>9</v>
      </c>
      <c r="J3" s="4"/>
      <c r="K3" t="str">
        <f t="shared" ref="K3:K10" si="5">CONCATENATE("&lt;option value='",L3,"'&gt;",L3,"&lt;/option&gt;")</f>
        <v>&lt;option value='1 bombola / lotto'&gt;1 bombola / lotto&lt;/option&gt;</v>
      </c>
      <c r="L3" s="3" t="s">
        <v>10</v>
      </c>
      <c r="M3" s="4"/>
      <c r="N3" t="str">
        <f t="shared" ref="N3:N29" si="6">CONCATENATE("&lt;option value='",O3,"'&gt;",O3,"&lt;/option&gt;")</f>
        <v>&lt;option value='AsH3'&gt;AsH3&lt;/option&gt;</v>
      </c>
      <c r="O3" s="5" t="s">
        <v>11</v>
      </c>
      <c r="P3" s="4"/>
    </row>
    <row r="4" spans="1:16" ht="15.75" customHeight="1" x14ac:dyDescent="0.2">
      <c r="A4" t="s">
        <v>318</v>
      </c>
      <c r="B4" t="str">
        <f t="shared" si="0"/>
        <v>INSERT INTO TABELLE_PARAMETRI (DOMINIO,DESCRIZIONE) VALUES ('GAS','CO2');</v>
      </c>
      <c r="D4" t="str">
        <f t="shared" si="1"/>
        <v>&lt;option value='CO2'&gt;CO2&lt;/option&gt;</v>
      </c>
      <c r="E4" s="3" t="s">
        <v>12</v>
      </c>
      <c r="F4" s="4" t="str">
        <f t="shared" si="2"/>
        <v>INSERT INTO PARA (DOMINIO,CODICE,ID_UTENTE_INS) VALUES ('GAS','G03',(SELECT ID_UTENTE FROM UTENTI WHERE USERNAME='armando.canto@airliquide.com'));</v>
      </c>
      <c r="G4" s="4" t="str">
        <f t="shared" si="3"/>
        <v>INSERT INTO PARAMETRI_LINGUE (ID_PARA,ID_LINGUE_ISO,DESCRIZIONE) VALUES ((SELECT ID_PARA FROM PARA WHERE DOMINIO='GAS' AND CODICE='G03'),0,'CO2');</v>
      </c>
      <c r="H4" t="str">
        <f t="shared" si="4"/>
        <v>&lt;option value='IR'&gt;IR&lt;/option&gt;</v>
      </c>
      <c r="I4" s="3" t="s">
        <v>13</v>
      </c>
      <c r="J4" s="4"/>
      <c r="K4" t="str">
        <f t="shared" si="5"/>
        <v>&lt;option value='1 bombola / lotto solo 1°riempimento'&gt;1 bombola / lotto solo 1°riempimento&lt;/option&gt;</v>
      </c>
      <c r="L4" s="3" t="s">
        <v>14</v>
      </c>
      <c r="M4" s="4"/>
      <c r="N4" t="str">
        <f t="shared" si="6"/>
        <v>&lt;option value='H2O (5 bar)'&gt;H2O (5 bar)&lt;/option&gt;</v>
      </c>
      <c r="O4" s="3" t="s">
        <v>15</v>
      </c>
      <c r="P4" s="4"/>
    </row>
    <row r="5" spans="1:16" ht="15.75" customHeight="1" x14ac:dyDescent="0.2">
      <c r="A5" t="s">
        <v>319</v>
      </c>
      <c r="B5" t="str">
        <f t="shared" si="0"/>
        <v>INSERT INTO TABELLE_PARAMETRI (DOMINIO,DESCRIZIONE) VALUES ('GAS','N2');</v>
      </c>
      <c r="D5" t="str">
        <f t="shared" si="1"/>
        <v>&lt;option value='N2'&gt;N2&lt;/option&gt;</v>
      </c>
      <c r="E5" s="3" t="s">
        <v>16</v>
      </c>
      <c r="F5" s="4" t="str">
        <f t="shared" si="2"/>
        <v>INSERT INTO PARA (DOMINIO,CODICE,ID_UTENTE_INS) VALUES ('GAS','G04',(SELECT ID_UTENTE FROM UTENTI WHERE USERNAME='armando.canto@airliquide.com'));</v>
      </c>
      <c r="G5" s="4" t="str">
        <f t="shared" si="3"/>
        <v>INSERT INTO PARAMETRI_LINGUE (ID_PARA,ID_LINGUE_ISO,DESCRIZIONE) VALUES ((SELECT ID_PARA FROM PARA WHERE DOMINIO='GAS' AND CODICE='G04'),0,'N2');</v>
      </c>
      <c r="H5" t="str">
        <f t="shared" si="4"/>
        <v>&lt;option value='PM'&gt;PM&lt;/option&gt;</v>
      </c>
      <c r="I5" s="3" t="s">
        <v>17</v>
      </c>
      <c r="J5" s="4"/>
      <c r="K5" t="str">
        <f t="shared" si="5"/>
        <v>&lt;option value='1 bombola / cambio cisterna'&gt;1 bombola / cambio cisterna&lt;/option&gt;</v>
      </c>
      <c r="L5" s="3" t="s">
        <v>18</v>
      </c>
      <c r="M5" s="4"/>
      <c r="N5" t="str">
        <f t="shared" si="6"/>
        <v>&lt;option value='H2O '&gt;H2O &lt;/option&gt;</v>
      </c>
      <c r="O5" s="3" t="s">
        <v>19</v>
      </c>
      <c r="P5" s="4"/>
    </row>
    <row r="6" spans="1:16" ht="15.75" customHeight="1" x14ac:dyDescent="0.2">
      <c r="A6" t="s">
        <v>320</v>
      </c>
      <c r="B6" t="str">
        <f t="shared" si="0"/>
        <v>INSERT INTO TABELLE_PARAMETRI (DOMINIO,DESCRIZIONE) VALUES ('GAS','O2');</v>
      </c>
      <c r="D6" t="str">
        <f t="shared" si="1"/>
        <v>&lt;option value='O2'&gt;O2&lt;/option&gt;</v>
      </c>
      <c r="E6" s="3" t="s">
        <v>20</v>
      </c>
      <c r="F6" s="4" t="str">
        <f t="shared" si="2"/>
        <v>INSERT INTO PARA (DOMINIO,CODICE,ID_UTENTE_INS) VALUES ('GAS','G05',(SELECT ID_UTENTE FROM UTENTI WHERE USERNAME='armando.canto@airliquide.com'));</v>
      </c>
      <c r="G6" s="4" t="str">
        <f t="shared" si="3"/>
        <v>INSERT INTO PARAMETRI_LINGUE (ID_PARA,ID_LINGUE_ISO,DESCRIZIONE) VALUES ((SELECT ID_PARA FROM PARA WHERE DOMINIO='GAS' AND CODICE='G05'),0,'O2');</v>
      </c>
      <c r="H6" t="str">
        <f t="shared" si="4"/>
        <v>&lt;option value='EL / ZR'&gt;EL / ZR&lt;/option&gt;</v>
      </c>
      <c r="I6" s="3" t="s">
        <v>21</v>
      </c>
      <c r="J6" s="4"/>
      <c r="K6" t="str">
        <f t="shared" si="5"/>
        <v>&lt;option value='Tutte le bombole'&gt;Tutte le bombole&lt;/option&gt;</v>
      </c>
      <c r="L6" s="3" t="s">
        <v>22</v>
      </c>
      <c r="M6" s="4"/>
      <c r="N6" t="str">
        <f t="shared" si="6"/>
        <v>&lt;option value='O2'&gt;O2&lt;/option&gt;</v>
      </c>
      <c r="O6" s="3" t="s">
        <v>23</v>
      </c>
      <c r="P6" s="4"/>
    </row>
    <row r="7" spans="1:16" ht="15.75" customHeight="1" x14ac:dyDescent="0.2">
      <c r="A7" t="s">
        <v>321</v>
      </c>
      <c r="B7" t="str">
        <f t="shared" si="0"/>
        <v>INSERT INTO TABELLE_PARAMETRI (DOMINIO,DESCRIZIONE) VALUES ('GAS','Ar');</v>
      </c>
      <c r="D7" t="str">
        <f t="shared" si="1"/>
        <v>&lt;option value='Ar'&gt;Ar&lt;/option&gt;</v>
      </c>
      <c r="E7" s="3" t="s">
        <v>24</v>
      </c>
      <c r="F7" s="4" t="str">
        <f t="shared" si="2"/>
        <v>INSERT INTO PARA (DOMINIO,CODICE,ID_UTENTE_INS) VALUES ('GAS','G06',(SELECT ID_UTENTE FROM UTENTI WHERE USERNAME='armando.canto@airliquide.com'));</v>
      </c>
      <c r="G7" s="4" t="str">
        <f t="shared" si="3"/>
        <v>INSERT INTO PARAMETRI_LINGUE (ID_PARA,ID_LINGUE_ISO,DESCRIZIONE) VALUES ((SELECT ID_PARA FROM PARA WHERE DOMINIO='GAS' AND CODICE='G06'),0,'Ar');</v>
      </c>
      <c r="H7" t="str">
        <f t="shared" si="4"/>
        <v>&lt;option value='DID'&gt;DID&lt;/option&gt;</v>
      </c>
      <c r="I7" s="3" t="s">
        <v>25</v>
      </c>
      <c r="J7" s="4"/>
      <c r="K7" t="str">
        <f t="shared" si="5"/>
        <v>&lt;option value='Tutti i pacchi'&gt;Tutti i pacchi&lt;/option&gt;</v>
      </c>
      <c r="L7" s="3" t="s">
        <v>26</v>
      </c>
      <c r="M7" s="4"/>
      <c r="N7" t="str">
        <f t="shared" si="6"/>
        <v>&lt;option value='CO'&gt;CO&lt;/option&gt;</v>
      </c>
      <c r="O7" s="3" t="s">
        <v>27</v>
      </c>
      <c r="P7" s="4"/>
    </row>
    <row r="8" spans="1:16" ht="15.75" customHeight="1" x14ac:dyDescent="0.2">
      <c r="A8" t="s">
        <v>322</v>
      </c>
      <c r="B8" t="str">
        <f t="shared" si="0"/>
        <v>INSERT INTO TABELLE_PARAMETRI (DOMINIO,DESCRIZIONE) VALUES ('GAS','He');</v>
      </c>
      <c r="D8" t="str">
        <f t="shared" si="1"/>
        <v>&lt;option value='He'&gt;He&lt;/option&gt;</v>
      </c>
      <c r="E8" s="3" t="s">
        <v>28</v>
      </c>
      <c r="F8" s="4" t="str">
        <f t="shared" si="2"/>
        <v>INSERT INTO PARA (DOMINIO,CODICE,ID_UTENTE_INS) VALUES ('GAS','G07',(SELECT ID_UTENTE FROM UTENTI WHERE USERNAME='armando.canto@airliquide.com'));</v>
      </c>
      <c r="G8" s="4" t="str">
        <f t="shared" si="3"/>
        <v>INSERT INTO PARAMETRI_LINGUE (ID_PARA,ID_LINGUE_ISO,DESCRIZIONE) VALUES ((SELECT ID_PARA FROM PARA WHERE DOMINIO='GAS' AND CODICE='G07'),0,'He');</v>
      </c>
      <c r="H8" t="str">
        <f t="shared" si="4"/>
        <v>&lt;option value='AID'&gt;AID&lt;/option&gt;</v>
      </c>
      <c r="I8" s="3" t="s">
        <v>29</v>
      </c>
      <c r="J8" s="4"/>
      <c r="K8" t="str">
        <f t="shared" si="5"/>
        <v>&lt;option value='1 bombola /trimestre'&gt;1 bombola /trimestre&lt;/option&gt;</v>
      </c>
      <c r="L8" s="3" t="s">
        <v>30</v>
      </c>
      <c r="M8" s="4"/>
      <c r="N8" t="str">
        <f t="shared" si="6"/>
        <v>&lt;option value='NO+NO2'&gt;NO+NO2&lt;/option&gt;</v>
      </c>
      <c r="O8" s="3" t="s">
        <v>31</v>
      </c>
      <c r="P8" s="4"/>
    </row>
    <row r="9" spans="1:16" ht="15.75" customHeight="1" x14ac:dyDescent="0.2">
      <c r="A9" t="s">
        <v>323</v>
      </c>
      <c r="B9" t="str">
        <f t="shared" si="0"/>
        <v>INSERT INTO TABELLE_PARAMETRI (DOMINIO,DESCRIZIONE) VALUES ('GAS','H2');</v>
      </c>
      <c r="D9" t="str">
        <f t="shared" si="1"/>
        <v>&lt;option value='H2'&gt;H2&lt;/option&gt;</v>
      </c>
      <c r="E9" s="3" t="s">
        <v>32</v>
      </c>
      <c r="F9" s="4" t="str">
        <f t="shared" si="2"/>
        <v>INSERT INTO PARA (DOMINIO,CODICE,ID_UTENTE_INS) VALUES ('GAS','G08',(SELECT ID_UTENTE FROM UTENTI WHERE USERNAME='armando.canto@airliquide.com'));</v>
      </c>
      <c r="G9" s="4" t="str">
        <f t="shared" si="3"/>
        <v>INSERT INTO PARAMETRI_LINGUE (ID_PARA,ID_LINGUE_ISO,DESCRIZIONE) VALUES ((SELECT ID_PARA FROM PARA WHERE DOMINIO='GAS' AND CODICE='G08'),0,'H2');</v>
      </c>
      <c r="H9" t="str">
        <f t="shared" si="4"/>
        <v>&lt;option value='EC'&gt;EC&lt;/option&gt;</v>
      </c>
      <c r="I9" s="3" t="s">
        <v>33</v>
      </c>
      <c r="J9" s="4"/>
      <c r="K9" t="str">
        <f t="shared" si="5"/>
        <v>&lt;option value='1 bombola / mese'&gt;1 bombola / mese&lt;/option&gt;</v>
      </c>
      <c r="L9" s="3" t="s">
        <v>34</v>
      </c>
      <c r="M9" s="4"/>
      <c r="N9" t="str">
        <f t="shared" si="6"/>
        <v>&lt;option value='CnHm'&gt;CnHm&lt;/option&gt;</v>
      </c>
      <c r="O9" s="3" t="s">
        <v>35</v>
      </c>
      <c r="P9" s="4"/>
    </row>
    <row r="10" spans="1:16" ht="15.75" customHeight="1" x14ac:dyDescent="0.2">
      <c r="A10" t="s">
        <v>324</v>
      </c>
      <c r="B10" t="str">
        <f t="shared" si="0"/>
        <v>INSERT INTO TABELLE_PARAMETRI (DOMINIO,DESCRIZIONE) VALUES ('GAS','CH4');</v>
      </c>
      <c r="D10" t="str">
        <f t="shared" si="1"/>
        <v>&lt;option value='CH4'&gt;CH4&lt;/option&gt;</v>
      </c>
      <c r="E10" s="3" t="s">
        <v>36</v>
      </c>
      <c r="F10" s="4" t="str">
        <f t="shared" si="2"/>
        <v>INSERT INTO PARA (DOMINIO,CODICE,ID_UTENTE_INS) VALUES ('GAS','G09',(SELECT ID_UTENTE FROM UTENTI WHERE USERNAME='armando.canto@airliquide.com'));</v>
      </c>
      <c r="G10" s="4" t="str">
        <f t="shared" si="3"/>
        <v>INSERT INTO PARAMETRI_LINGUE (ID_PARA,ID_LINGUE_ISO,DESCRIZIONE) VALUES ((SELECT ID_PARA FROM PARA WHERE DOMINIO='GAS' AND CODICE='G09'),0,'CH4');</v>
      </c>
      <c r="H10" t="str">
        <f t="shared" si="4"/>
        <v>&lt;option value='IG'&gt;IG&lt;/option&gt;</v>
      </c>
      <c r="I10" s="3" t="s">
        <v>37</v>
      </c>
      <c r="J10" s="4"/>
      <c r="K10" t="str">
        <f t="shared" si="5"/>
        <v>&lt;option value='1 contenitore / lotto'&gt;1 contenitore / lotto&lt;/option&gt;</v>
      </c>
      <c r="L10" s="6" t="s">
        <v>38</v>
      </c>
      <c r="M10" s="7"/>
      <c r="N10" t="str">
        <f t="shared" si="6"/>
        <v>&lt;option value='S Totale'&gt;S Totale&lt;/option&gt;</v>
      </c>
      <c r="O10" s="3" t="s">
        <v>39</v>
      </c>
      <c r="P10" s="4"/>
    </row>
    <row r="11" spans="1:16" ht="15.75" customHeight="1" x14ac:dyDescent="0.2">
      <c r="A11" t="s">
        <v>325</v>
      </c>
      <c r="B11" t="str">
        <f t="shared" si="0"/>
        <v>INSERT INTO TABELLE_PARAMETRI (DOMINIO,DESCRIZIONE) VALUES ('GAS','C3H8');</v>
      </c>
      <c r="D11" t="str">
        <f t="shared" si="1"/>
        <v>&lt;option value='C3H8'&gt;C3H8&lt;/option&gt;</v>
      </c>
      <c r="E11" s="3" t="s">
        <v>40</v>
      </c>
      <c r="F11" s="4" t="str">
        <f t="shared" si="2"/>
        <v>INSERT INTO PARA (DOMINIO,CODICE,ID_UTENTE_INS) VALUES ('GAS','G10',(SELECT ID_UTENTE FROM UTENTI WHERE USERNAME='armando.canto@airliquide.com'));</v>
      </c>
      <c r="G11" s="4" t="str">
        <f t="shared" si="3"/>
        <v>INSERT INTO PARAMETRI_LINGUE (ID_PARA,ID_LINGUE_ISO,DESCRIZIONE) VALUES ((SELECT ID_PARA FROM PARA WHERE DOMINIO='GAS' AND CODICE='G10'),0,'C3H8');</v>
      </c>
      <c r="H11" t="str">
        <f t="shared" si="4"/>
        <v>&lt;option value='TCD'&gt;TCD&lt;/option&gt;</v>
      </c>
      <c r="I11" s="3" t="s">
        <v>41</v>
      </c>
      <c r="J11" s="4"/>
      <c r="N11" t="str">
        <f t="shared" si="6"/>
        <v>&lt;option value='Oli'&gt;Oli&lt;/option&gt;</v>
      </c>
      <c r="O11" s="3" t="s">
        <v>42</v>
      </c>
      <c r="P11" s="4"/>
    </row>
    <row r="12" spans="1:16" ht="15.75" customHeight="1" x14ac:dyDescent="0.2">
      <c r="A12" t="s">
        <v>326</v>
      </c>
      <c r="B12" t="str">
        <f t="shared" si="0"/>
        <v>INSERT INTO TABELLE_PARAMETRI (DOMINIO,DESCRIZIONE) VALUES ('GAS','C3H6');</v>
      </c>
      <c r="D12" t="str">
        <f t="shared" si="1"/>
        <v>&lt;option value='C3H6'&gt;C3H6&lt;/option&gt;</v>
      </c>
      <c r="E12" s="3" t="s">
        <v>43</v>
      </c>
      <c r="F12" s="4" t="str">
        <f t="shared" si="2"/>
        <v>INSERT INTO PARA (DOMINIO,CODICE,ID_UTENTE_INS) VALUES ('GAS','G11',(SELECT ID_UTENTE FROM UTENTI WHERE USERNAME='armando.canto@airliquide.com'));</v>
      </c>
      <c r="G12" s="4" t="str">
        <f t="shared" si="3"/>
        <v>INSERT INTO PARAMETRI_LINGUE (ID_PARA,ID_LINGUE_ISO,DESCRIZIONE) VALUES ((SELECT ID_PARA FROM PARA WHERE DOMINIO='GAS' AND CODICE='G11'),0,'C3H6');</v>
      </c>
      <c r="H12" t="str">
        <f t="shared" si="4"/>
        <v>&lt;option value='PM / ZR'&gt;PM / ZR&lt;/option&gt;</v>
      </c>
      <c r="I12" s="3" t="s">
        <v>44</v>
      </c>
      <c r="J12" s="4"/>
      <c r="N12" t="str">
        <f t="shared" si="6"/>
        <v>&lt;option value='NVOC'&gt;NVOC&lt;/option&gt;</v>
      </c>
      <c r="O12" s="3" t="s">
        <v>45</v>
      </c>
      <c r="P12" s="4"/>
    </row>
    <row r="13" spans="1:16" ht="15.75" customHeight="1" x14ac:dyDescent="0.2">
      <c r="A13" t="s">
        <v>327</v>
      </c>
      <c r="B13" t="str">
        <f t="shared" si="0"/>
        <v>INSERT INTO TABELLE_PARAMETRI (DOMINIO,DESCRIZIONE) VALUES ('GAS','P.C.I.');</v>
      </c>
      <c r="D13" t="str">
        <f t="shared" si="1"/>
        <v>&lt;option value='P.C.I.'&gt;P.C.I.&lt;/option&gt;</v>
      </c>
      <c r="E13" s="3" t="s">
        <v>46</v>
      </c>
      <c r="F13" s="4" t="str">
        <f t="shared" si="2"/>
        <v>INSERT INTO PARA (DOMINIO,CODICE,ID_UTENTE_INS) VALUES ('GAS','G12',(SELECT ID_UTENTE FROM UTENTI WHERE USERNAME='armando.canto@airliquide.com'));</v>
      </c>
      <c r="G13" s="4" t="str">
        <f t="shared" si="3"/>
        <v>INSERT INTO PARAMETRI_LINGUE (ID_PARA,ID_LINGUE_ISO,DESCRIZIONE) VALUES ((SELECT ID_PARA FROM PARA WHERE DOMINIO='GAS' AND CODICE='G12'),0,'P.C.I.');</v>
      </c>
      <c r="H13" t="str">
        <f t="shared" si="4"/>
        <v>&lt;option value='GC - TCD'&gt;GC - TCD&lt;/option&gt;</v>
      </c>
      <c r="I13" s="3" t="s">
        <v>47</v>
      </c>
      <c r="J13" s="4"/>
      <c r="N13" t="str">
        <f t="shared" si="6"/>
        <v>&lt;option value='H2'&gt;H2&lt;/option&gt;</v>
      </c>
      <c r="O13" s="3" t="s">
        <v>48</v>
      </c>
      <c r="P13" s="4"/>
    </row>
    <row r="14" spans="1:16" ht="15.75" customHeight="1" x14ac:dyDescent="0.2">
      <c r="A14" t="s">
        <v>328</v>
      </c>
      <c r="B14" t="str">
        <f t="shared" si="0"/>
        <v>INSERT INTO TABELLE_PARAMETRI (DOMINIO,DESCRIZIONE) VALUES ('GAS','P.C.S.');</v>
      </c>
      <c r="D14" t="str">
        <f t="shared" si="1"/>
        <v>&lt;option value='P.C.S.'&gt;P.C.S.&lt;/option&gt;</v>
      </c>
      <c r="E14" s="8" t="s">
        <v>49</v>
      </c>
      <c r="F14" s="4" t="str">
        <f t="shared" si="2"/>
        <v>INSERT INTO PARA (DOMINIO,CODICE,ID_UTENTE_INS) VALUES ('GAS','G13',(SELECT ID_UTENTE FROM UTENTI WHERE USERNAME='armando.canto@airliquide.com'));</v>
      </c>
      <c r="G14" s="4" t="str">
        <f t="shared" si="3"/>
        <v>INSERT INTO PARAMETRI_LINGUE (ID_PARA,ID_LINGUE_ISO,DESCRIZIONE) VALUES ((SELECT ID_PARA FROM PARA WHERE DOMINIO='GAS' AND CODICE='G13'),0,'P.C.S.');</v>
      </c>
      <c r="H14" t="str">
        <f t="shared" si="4"/>
        <v>&lt;option value='GC'&gt;GC&lt;/option&gt;</v>
      </c>
      <c r="I14" s="3" t="s">
        <v>50</v>
      </c>
      <c r="J14" s="4"/>
      <c r="N14" t="str">
        <f t="shared" si="6"/>
        <v>&lt;option value='CO2'&gt;CO2&lt;/option&gt;</v>
      </c>
      <c r="O14" s="3" t="s">
        <v>51</v>
      </c>
      <c r="P14" s="4"/>
    </row>
    <row r="15" spans="1:16" ht="15.75" customHeight="1" x14ac:dyDescent="0.2">
      <c r="A15" t="s">
        <v>329</v>
      </c>
      <c r="B15" t="str">
        <f t="shared" si="0"/>
        <v>INSERT INTO TABELLE_PARAMETRI (DOMINIO,DESCRIZIONE) VALUES ('GAS','I.W.I.');</v>
      </c>
      <c r="D15" t="str">
        <f t="shared" si="1"/>
        <v>&lt;option value='I.W.I.'&gt;I.W.I.&lt;/option&gt;</v>
      </c>
      <c r="E15" s="3" t="s">
        <v>52</v>
      </c>
      <c r="F15" s="4" t="str">
        <f t="shared" si="2"/>
        <v>INSERT INTO PARA (DOMINIO,CODICE,ID_UTENTE_INS) VALUES ('GAS','G14',(SELECT ID_UTENTE FROM UTENTI WHERE USERNAME='armando.canto@airliquide.com'));</v>
      </c>
      <c r="G15" s="4" t="str">
        <f t="shared" si="3"/>
        <v>INSERT INTO PARAMETRI_LINGUE (ID_PARA,ID_LINGUE_ISO,DESCRIZIONE) VALUES ((SELECT ID_PARA FROM PARA WHERE DOMINIO='GAS' AND CODICE='G14'),0,'I.W.I.');</v>
      </c>
      <c r="H15" t="str">
        <f t="shared" si="4"/>
        <v>&lt;option value='THC'&gt;THC&lt;/option&gt;</v>
      </c>
      <c r="I15" s="6" t="s">
        <v>53</v>
      </c>
      <c r="J15" s="7"/>
      <c r="N15" t="str">
        <f t="shared" si="6"/>
        <v>&lt;option value='NO / NOx'&gt;NO / NOx&lt;/option&gt;</v>
      </c>
      <c r="O15" s="3" t="s">
        <v>54</v>
      </c>
      <c r="P15" s="4"/>
    </row>
    <row r="16" spans="1:16" ht="15.75" customHeight="1" x14ac:dyDescent="0.2">
      <c r="A16" t="s">
        <v>330</v>
      </c>
      <c r="B16" t="str">
        <f t="shared" si="0"/>
        <v>INSERT INTO TABELLE_PARAMETRI (DOMINIO,DESCRIZIONE) VALUES ('GAS','I.W.S.');</v>
      </c>
      <c r="D16" t="str">
        <f t="shared" si="1"/>
        <v>&lt;option value='I.W.S.'&gt;I.W.S.&lt;/option&gt;</v>
      </c>
      <c r="E16" s="3" t="s">
        <v>55</v>
      </c>
      <c r="F16" s="4" t="str">
        <f t="shared" si="2"/>
        <v>INSERT INTO PARA (DOMINIO,CODICE,ID_UTENTE_INS) VALUES ('GAS','G15',(SELECT ID_UTENTE FROM UTENTI WHERE USERNAME='armando.canto@airliquide.com'));</v>
      </c>
      <c r="G16" s="4" t="str">
        <f t="shared" si="3"/>
        <v>INSERT INTO PARAMETRI_LINGUE (ID_PARA,ID_LINGUE_ISO,DESCRIZIONE) VALUES ((SELECT ID_PARA FROM PARA WHERE DOMINIO='GAS' AND CODICE='G15'),0,'I.W.S.');</v>
      </c>
      <c r="N16" t="str">
        <f t="shared" si="6"/>
        <v>&lt;option value='NOx'&gt;NOx&lt;/option&gt;</v>
      </c>
      <c r="O16" s="3" t="s">
        <v>56</v>
      </c>
      <c r="P16" s="4"/>
    </row>
    <row r="17" spans="1:16" ht="15.75" customHeight="1" x14ac:dyDescent="0.2">
      <c r="A17" t="s">
        <v>331</v>
      </c>
      <c r="B17" t="str">
        <f t="shared" si="0"/>
        <v>INSERT INTO TABELLE_PARAMETRI (DOMINIO,DESCRIZIONE) VALUES ('GAS','Densità relativa');</v>
      </c>
      <c r="D17" t="str">
        <f t="shared" si="1"/>
        <v>&lt;option value='Densità relativa'&gt;Densità relativa&lt;/option&gt;</v>
      </c>
      <c r="E17" s="3" t="s">
        <v>57</v>
      </c>
      <c r="F17" s="4" t="str">
        <f t="shared" si="2"/>
        <v>INSERT INTO PARA (DOMINIO,CODICE,ID_UTENTE_INS) VALUES ('GAS','G16',(SELECT ID_UTENTE FROM UTENTI WHERE USERNAME='armando.canto@airliquide.com'));</v>
      </c>
      <c r="G17" s="4" t="str">
        <f t="shared" si="3"/>
        <v>INSERT INTO PARAMETRI_LINGUE (ID_PARA,ID_LINGUE_ISO,DESCRIZIONE) VALUES ((SELECT ID_PARA FROM PARA WHERE DOMINIO='GAS' AND CODICE='G16'),0,'Densità relativa');</v>
      </c>
      <c r="N17" t="str">
        <f t="shared" si="6"/>
        <v>&lt;option value='SO2'&gt;SO2&lt;/option&gt;</v>
      </c>
      <c r="O17" s="3" t="s">
        <v>58</v>
      </c>
      <c r="P17" s="4"/>
    </row>
    <row r="18" spans="1:16" ht="15.75" customHeight="1" x14ac:dyDescent="0.2">
      <c r="A18" t="s">
        <v>332</v>
      </c>
      <c r="B18" t="str">
        <f t="shared" si="0"/>
        <v>INSERT INTO TABELLE_PARAMETRI (DOMINIO,DESCRIZIONE) VALUES ('GAS','CH4H10 - n');</v>
      </c>
      <c r="D18" t="str">
        <f t="shared" si="1"/>
        <v>&lt;option value='CH4H10 - n'&gt;CH4H10 - n&lt;/option&gt;</v>
      </c>
      <c r="E18" s="3" t="s">
        <v>59</v>
      </c>
      <c r="F18" s="4" t="str">
        <f t="shared" si="2"/>
        <v>INSERT INTO PARA (DOMINIO,CODICE,ID_UTENTE_INS) VALUES ('GAS','G17',(SELECT ID_UTENTE FROM UTENTI WHERE USERNAME='armando.canto@airliquide.com'));</v>
      </c>
      <c r="G18" s="4" t="str">
        <f t="shared" si="3"/>
        <v>INSERT INTO PARAMETRI_LINGUE (ID_PARA,ID_LINGUE_ISO,DESCRIZIONE) VALUES ((SELECT ID_PARA FROM PARA WHERE DOMINIO='GAS' AND CODICE='G17'),0,'CH4H10 - n');</v>
      </c>
      <c r="I18" s="1" t="s">
        <v>60</v>
      </c>
      <c r="J18" s="2"/>
      <c r="L18" s="1" t="s">
        <v>61</v>
      </c>
      <c r="M18" s="2"/>
      <c r="N18" t="str">
        <f t="shared" si="6"/>
        <v>&lt;option value='Gas rari'&gt;Gas rari&lt;/option&gt;</v>
      </c>
      <c r="O18" s="3" t="s">
        <v>62</v>
      </c>
      <c r="P18" s="4"/>
    </row>
    <row r="19" spans="1:16" ht="15.75" customHeight="1" x14ac:dyDescent="0.2">
      <c r="A19" t="s">
        <v>333</v>
      </c>
      <c r="B19" t="str">
        <f t="shared" si="0"/>
        <v>INSERT INTO TABELLE_PARAMETRI (DOMINIO,DESCRIZIONE) VALUES ('GAS','Xe');</v>
      </c>
      <c r="D19" t="str">
        <f t="shared" si="1"/>
        <v>&lt;option value='Xe'&gt;Xe&lt;/option&gt;</v>
      </c>
      <c r="E19" s="3" t="s">
        <v>63</v>
      </c>
      <c r="F19" s="4" t="str">
        <f t="shared" si="2"/>
        <v>INSERT INTO PARA (DOMINIO,CODICE,ID_UTENTE_INS) VALUES ('GAS','G18',(SELECT ID_UTENTE FROM UTENTI WHERE USERNAME='armando.canto@airliquide.com'));</v>
      </c>
      <c r="G19" s="4" t="str">
        <f t="shared" si="3"/>
        <v>INSERT INTO PARAMETRI_LINGUE (ID_PARA,ID_LINGUE_ISO,DESCRIZIONE) VALUES ((SELECT ID_PARA FROM PARA WHERE DOMINIO='GAS' AND CODICE='G18'),0,'Xe');</v>
      </c>
      <c r="I19" s="3" t="s">
        <v>64</v>
      </c>
      <c r="J19" s="4"/>
      <c r="L19" s="9" t="s">
        <v>65</v>
      </c>
      <c r="M19" s="4"/>
      <c r="N19" t="str">
        <f t="shared" si="6"/>
        <v>&lt;option value='H2S'&gt;H2S&lt;/option&gt;</v>
      </c>
      <c r="O19" s="3" t="s">
        <v>66</v>
      </c>
      <c r="P19" s="4"/>
    </row>
    <row r="20" spans="1:16" ht="15.75" customHeight="1" x14ac:dyDescent="0.2">
      <c r="A20" t="s">
        <v>334</v>
      </c>
      <c r="B20" t="str">
        <f t="shared" si="0"/>
        <v>INSERT INTO TABELLE_PARAMETRI (DOMINIO,DESCRIZIONE) VALUES ('GAS','N.A.');</v>
      </c>
      <c r="D20" t="str">
        <f t="shared" si="1"/>
        <v>&lt;option value='N.A.'&gt;N.A.&lt;/option&gt;</v>
      </c>
      <c r="E20" s="3" t="s">
        <v>67</v>
      </c>
      <c r="F20" s="4" t="str">
        <f t="shared" si="2"/>
        <v>INSERT INTO PARA (DOMINIO,CODICE,ID_UTENTE_INS) VALUES ('GAS','G19',(SELECT ID_UTENTE FROM UTENTI WHERE USERNAME='armando.canto@airliquide.com'));</v>
      </c>
      <c r="G20" s="4" t="str">
        <f t="shared" si="3"/>
        <v>INSERT INTO PARAMETRI_LINGUE (ID_PARA,ID_LINGUE_ISO,DESCRIZIONE) VALUES ((SELECT ID_PARA FROM PARA WHERE DOMINIO='GAS' AND CODICE='G19'),0,'N.A.');</v>
      </c>
      <c r="I20" s="6" t="s">
        <v>68</v>
      </c>
      <c r="J20" s="7"/>
      <c r="L20" s="9" t="s">
        <v>69</v>
      </c>
      <c r="M20" s="4"/>
      <c r="N20" t="str">
        <f t="shared" si="6"/>
        <v>&lt;option value='CH4'&gt;CH4&lt;/option&gt;</v>
      </c>
      <c r="O20" s="3" t="s">
        <v>70</v>
      </c>
      <c r="P20" s="4"/>
    </row>
    <row r="21" spans="1:16" ht="15.75" customHeight="1" x14ac:dyDescent="0.2">
      <c r="A21" t="s">
        <v>335</v>
      </c>
      <c r="B21" t="str">
        <f t="shared" si="0"/>
        <v>INSERT INTO TABELLE_PARAMETRI (DOMINIO,DESCRIZIONE) VALUES ('GAS','N2O');</v>
      </c>
      <c r="D21" t="str">
        <f t="shared" si="1"/>
        <v>&lt;option value='N2O'&gt;N2O&lt;/option&gt;</v>
      </c>
      <c r="E21" s="3" t="s">
        <v>71</v>
      </c>
      <c r="F21" s="4" t="str">
        <f t="shared" si="2"/>
        <v>INSERT INTO PARA (DOMINIO,CODICE,ID_UTENTE_INS) VALUES ('GAS','G20',(SELECT ID_UTENTE FROM UTENTI WHERE USERNAME='armando.canto@airliquide.com'));</v>
      </c>
      <c r="G21" s="4" t="str">
        <f t="shared" si="3"/>
        <v>INSERT INTO PARAMETRI_LINGUE (ID_PARA,ID_LINGUE_ISO,DESCRIZIONE) VALUES ((SELECT ID_PARA FROM PARA WHERE DOMINIO='GAS' AND CODICE='G20'),0,'N2O');</v>
      </c>
      <c r="L21" s="9" t="s">
        <v>72</v>
      </c>
      <c r="M21" s="4"/>
      <c r="N21" t="str">
        <f t="shared" si="6"/>
        <v>&lt;option value='Kr'&gt;Kr&lt;/option&gt;</v>
      </c>
      <c r="O21" s="3" t="s">
        <v>73</v>
      </c>
      <c r="P21" s="4"/>
    </row>
    <row r="22" spans="1:16" ht="15.75" customHeight="1" x14ac:dyDescent="0.2">
      <c r="A22" t="s">
        <v>336</v>
      </c>
      <c r="B22" t="str">
        <f t="shared" si="0"/>
        <v>INSERT INTO TABELLE_PARAMETRI (DOMINIO,DESCRIZIONE) VALUES ('GAS','R134a');</v>
      </c>
      <c r="D22" t="str">
        <f t="shared" si="1"/>
        <v>&lt;option value='R134a'&gt;R134a&lt;/option&gt;</v>
      </c>
      <c r="E22" s="3" t="s">
        <v>74</v>
      </c>
      <c r="F22" s="4" t="str">
        <f t="shared" si="2"/>
        <v>INSERT INTO PARA (DOMINIO,CODICE,ID_UTENTE_INS) VALUES ('GAS','G21',(SELECT ID_UTENTE FROM UTENTI WHERE USERNAME='armando.canto@airliquide.com'));</v>
      </c>
      <c r="G22" s="4" t="str">
        <f t="shared" si="3"/>
        <v>INSERT INTO PARAMETRI_LINGUE (ID_PARA,ID_LINGUE_ISO,DESCRIZIONE) VALUES ((SELECT ID_PARA FROM PARA WHERE DOMINIO='GAS' AND CODICE='G21'),0,'R134a');</v>
      </c>
      <c r="L22" s="9" t="s">
        <v>75</v>
      </c>
      <c r="M22" s="4"/>
      <c r="N22" t="str">
        <f t="shared" si="6"/>
        <v>&lt;option value='Ne'&gt;Ne&lt;/option&gt;</v>
      </c>
      <c r="O22" s="3" t="s">
        <v>76</v>
      </c>
      <c r="P22" s="4"/>
    </row>
    <row r="23" spans="1:16" ht="15.75" customHeight="1" x14ac:dyDescent="0.2">
      <c r="A23" t="s">
        <v>337</v>
      </c>
      <c r="B23" t="str">
        <f t="shared" si="0"/>
        <v>INSERT INTO TABELLE_PARAMETRI (DOMINIO,DESCRIZIONE) VALUES ('GAS','R143a');</v>
      </c>
      <c r="D23" t="str">
        <f t="shared" si="1"/>
        <v>&lt;option value='R143a'&gt;R143a&lt;/option&gt;</v>
      </c>
      <c r="E23" s="3" t="s">
        <v>77</v>
      </c>
      <c r="F23" s="4" t="str">
        <f t="shared" si="2"/>
        <v>INSERT INTO PARA (DOMINIO,CODICE,ID_UTENTE_INS) VALUES ('GAS','G22',(SELECT ID_UTENTE FROM UTENTI WHERE USERNAME='armando.canto@airliquide.com'));</v>
      </c>
      <c r="G23" s="4" t="str">
        <f t="shared" si="3"/>
        <v>INSERT INTO PARAMETRI_LINGUE (ID_PARA,ID_LINGUE_ISO,DESCRIZIONE) VALUES ((SELECT ID_PARA FROM PARA WHERE DOMINIO='GAS' AND CODICE='G22'),0,'R143a');</v>
      </c>
      <c r="I23" s="1" t="s">
        <v>78</v>
      </c>
      <c r="J23" s="2"/>
      <c r="L23" s="3" t="s">
        <v>79</v>
      </c>
      <c r="M23" s="4"/>
      <c r="N23" t="str">
        <f t="shared" si="6"/>
        <v>&lt;option value='Incondensabili in fase vapore'&gt;Incondensabili in fase vapore&lt;/option&gt;</v>
      </c>
      <c r="O23" s="3" t="s">
        <v>80</v>
      </c>
      <c r="P23" s="4"/>
    </row>
    <row r="24" spans="1:16" ht="15.75" customHeight="1" x14ac:dyDescent="0.2">
      <c r="A24" t="s">
        <v>338</v>
      </c>
      <c r="B24" t="str">
        <f t="shared" si="0"/>
        <v>INSERT INTO TABELLE_PARAMETRI (DOMINIO,DESCRIZIONE) VALUES ('GAS','R125');</v>
      </c>
      <c r="D24" t="str">
        <f t="shared" si="1"/>
        <v>&lt;option value='R125'&gt;R125&lt;/option&gt;</v>
      </c>
      <c r="E24" s="3" t="s">
        <v>81</v>
      </c>
      <c r="F24" s="4" t="str">
        <f t="shared" si="2"/>
        <v>INSERT INTO PARA (DOMINIO,CODICE,ID_UTENTE_INS) VALUES ('GAS','G23',(SELECT ID_UTENTE FROM UTENTI WHERE USERNAME='armando.canto@airliquide.com'));</v>
      </c>
      <c r="G24" s="4" t="str">
        <f t="shared" si="3"/>
        <v>INSERT INTO PARAMETRI_LINGUE (ID_PARA,ID_LINGUE_ISO,DESCRIZIONE) VALUES ((SELECT ID_PARA FROM PARA WHERE DOMINIO='GAS' AND CODICE='G23'),0,'R125');</v>
      </c>
      <c r="H24" t="str">
        <f>CONCATENATE("&lt;option value='",I24,"' selected&gt;",I24,"&lt;/option&gt;")</f>
        <v>&lt;option value='Grugliasco (TO)' selected&gt;Grugliasco (TO)&lt;/option&gt;</v>
      </c>
      <c r="I24" s="3" t="s">
        <v>82</v>
      </c>
      <c r="J24" s="4"/>
      <c r="L24" s="9" t="s">
        <v>83</v>
      </c>
      <c r="M24" s="4"/>
      <c r="N24" t="str">
        <f t="shared" si="6"/>
        <v>&lt;option value='Impurezza alto bollenti'&gt;Impurezza alto bollenti&lt;/option&gt;</v>
      </c>
      <c r="O24" s="3" t="s">
        <v>84</v>
      </c>
      <c r="P24" s="4"/>
    </row>
    <row r="25" spans="1:16" ht="15.75" customHeight="1" x14ac:dyDescent="0.2">
      <c r="A25" t="s">
        <v>339</v>
      </c>
      <c r="B25" t="str">
        <f t="shared" si="0"/>
        <v>INSERT INTO TABELLE_PARAMETRI (DOMINIO,DESCRIZIONE) VALUES ('GAS','R32');</v>
      </c>
      <c r="D25" t="str">
        <f t="shared" si="1"/>
        <v>&lt;option value='R32'&gt;R32&lt;/option&gt;</v>
      </c>
      <c r="E25" s="3" t="s">
        <v>85</v>
      </c>
      <c r="F25" s="4" t="str">
        <f t="shared" si="2"/>
        <v>INSERT INTO PARA (DOMINIO,CODICE,ID_UTENTE_INS) VALUES ('GAS','G24',(SELECT ID_UTENTE FROM UTENTI WHERE USERNAME='armando.canto@airliquide.com'));</v>
      </c>
      <c r="G25" s="4" t="str">
        <f t="shared" si="3"/>
        <v>INSERT INTO PARAMETRI_LINGUE (ID_PARA,ID_LINGUE_ISO,DESCRIZIONE) VALUES ((SELECT ID_PARA FROM PARA WHERE DOMINIO='GAS' AND CODICE='G24'),0,'R32');</v>
      </c>
      <c r="H25" t="str">
        <f t="shared" ref="H25:H40" si="7">CONCATENATE("&lt;option value='",I25,"' selected&gt;",I25,"&lt;/option&gt;")</f>
        <v>&lt;option value='Sannazzaro (PV)' selected&gt;Sannazzaro (PV)&lt;/option&gt;</v>
      </c>
      <c r="I25" s="3" t="s">
        <v>86</v>
      </c>
      <c r="J25" s="4"/>
      <c r="L25" s="6" t="s">
        <v>87</v>
      </c>
      <c r="M25" s="7"/>
      <c r="N25" t="str">
        <f t="shared" si="6"/>
        <v>&lt;option value='Acidità'&gt;Acidità&lt;/option&gt;</v>
      </c>
      <c r="O25" s="3" t="s">
        <v>88</v>
      </c>
      <c r="P25" s="4"/>
    </row>
    <row r="26" spans="1:16" ht="12.75" x14ac:dyDescent="0.2">
      <c r="A26" t="s">
        <v>340</v>
      </c>
      <c r="B26" t="str">
        <f t="shared" si="0"/>
        <v>INSERT INTO TABELLE_PARAMETRI (DOMINIO,DESCRIZIONE) VALUES ('GAS','R218');</v>
      </c>
      <c r="D26" t="str">
        <f t="shared" si="1"/>
        <v>&lt;option value='R218'&gt;R218&lt;/option&gt;</v>
      </c>
      <c r="E26" s="3" t="s">
        <v>89</v>
      </c>
      <c r="F26" s="4" t="str">
        <f t="shared" si="2"/>
        <v>INSERT INTO PARA (DOMINIO,CODICE,ID_UTENTE_INS) VALUES ('GAS','G25',(SELECT ID_UTENTE FROM UTENTI WHERE USERNAME='armando.canto@airliquide.com'));</v>
      </c>
      <c r="G26" s="4" t="str">
        <f t="shared" si="3"/>
        <v>INSERT INTO PARAMETRI_LINGUE (ID_PARA,ID_LINGUE_ISO,DESCRIZIONE) VALUES ((SELECT ID_PARA FROM PARA WHERE DOMINIO='GAS' AND CODICE='G25'),0,'R218');</v>
      </c>
      <c r="H26" t="str">
        <f t="shared" si="7"/>
        <v>&lt;option value='Rodano (MI)' selected&gt;Rodano (MI)&lt;/option&gt;</v>
      </c>
      <c r="I26" s="3" t="s">
        <v>90</v>
      </c>
      <c r="J26" s="4"/>
      <c r="N26" t="str">
        <f t="shared" si="6"/>
        <v>&lt;option value='Alogenuri'&gt;Alogenuri&lt;/option&gt;</v>
      </c>
      <c r="O26" s="3" t="s">
        <v>91</v>
      </c>
      <c r="P26" s="4"/>
    </row>
    <row r="27" spans="1:16" ht="12.75" x14ac:dyDescent="0.2">
      <c r="A27" t="s">
        <v>341</v>
      </c>
      <c r="B27" t="str">
        <f t="shared" si="0"/>
        <v>INSERT INTO TABELLE_PARAMETRI (DOMINIO,DESCRIZIONE) VALUES ('GAS','R600');</v>
      </c>
      <c r="D27" t="str">
        <f t="shared" si="1"/>
        <v>&lt;option value='R600'&gt;R600&lt;/option&gt;</v>
      </c>
      <c r="E27" s="3" t="s">
        <v>92</v>
      </c>
      <c r="F27" s="4" t="str">
        <f t="shared" si="2"/>
        <v>INSERT INTO PARA (DOMINIO,CODICE,ID_UTENTE_INS) VALUES ('GAS','G26',(SELECT ID_UTENTE FROM UTENTI WHERE USERNAME='armando.canto@airliquide.com'));</v>
      </c>
      <c r="G27" s="4" t="str">
        <f t="shared" si="3"/>
        <v>INSERT INTO PARAMETRI_LINGUE (ID_PARA,ID_LINGUE_ISO,DESCRIZIONE) VALUES ((SELECT ID_PARA FROM PARA WHERE DOMINIO='GAS' AND CODICE='G26'),0,'R600');</v>
      </c>
      <c r="H27" t="str">
        <f t="shared" si="7"/>
        <v>&lt;option value='Rodano MOD' selected&gt;Rodano MOD&lt;/option&gt;</v>
      </c>
      <c r="I27" s="3" t="s">
        <v>93</v>
      </c>
      <c r="J27" s="4"/>
      <c r="N27" t="str">
        <f t="shared" si="6"/>
        <v>&lt;option value='Acidità'&gt;Acidità&lt;/option&gt;</v>
      </c>
      <c r="O27" s="3" t="s">
        <v>88</v>
      </c>
      <c r="P27" s="4"/>
    </row>
    <row r="28" spans="1:16" ht="12.75" x14ac:dyDescent="0.2">
      <c r="A28" t="s">
        <v>342</v>
      </c>
      <c r="B28" t="str">
        <f t="shared" si="0"/>
        <v>INSERT INTO TABELLE_PARAMETRI (DOMINIO,DESCRIZIONE) VALUES ('GAS','Pentano');</v>
      </c>
      <c r="D28" t="str">
        <f t="shared" si="1"/>
        <v>&lt;option value='Pentano'&gt;Pentano&lt;/option&gt;</v>
      </c>
      <c r="E28" s="3" t="s">
        <v>94</v>
      </c>
      <c r="F28" s="4" t="str">
        <f t="shared" si="2"/>
        <v>INSERT INTO PARA (DOMINIO,CODICE,ID_UTENTE_INS) VALUES ('GAS','G27',(SELECT ID_UTENTE FROM UTENTI WHERE USERNAME='armando.canto@airliquide.com'));</v>
      </c>
      <c r="G28" s="4" t="str">
        <f t="shared" si="3"/>
        <v>INSERT INTO PARAMETRI_LINGUE (ID_PARA,ID_LINGUE_ISO,DESCRIZIONE) VALUES ((SELECT ID_PARA FROM PARA WHERE DOMINIO='GAS' AND CODICE='G27'),0,'Pentano');</v>
      </c>
      <c r="H28" t="str">
        <f t="shared" si="7"/>
        <v>&lt;option value='Chieve (CR)' selected&gt;Chieve (CR)&lt;/option&gt;</v>
      </c>
      <c r="I28" s="3" t="s">
        <v>95</v>
      </c>
      <c r="J28" s="4"/>
      <c r="N28" t="str">
        <f t="shared" si="6"/>
        <v>&lt;option value='Fosfuri, Solfuri, Sost. Riducenti'&gt;Fosfuri, Solfuri, Sost. Riducenti&lt;/option&gt;</v>
      </c>
      <c r="O28" s="3" t="s">
        <v>96</v>
      </c>
      <c r="P28" s="4"/>
    </row>
    <row r="29" spans="1:16" ht="12.75" x14ac:dyDescent="0.2">
      <c r="A29" t="s">
        <v>343</v>
      </c>
      <c r="B29" t="str">
        <f t="shared" si="0"/>
        <v>INSERT INTO TABELLE_PARAMETRI (DOMINIO,DESCRIZIONE) VALUES ('GAS','ETO');</v>
      </c>
      <c r="D29" t="str">
        <f t="shared" si="1"/>
        <v>&lt;option value='ETO'&gt;ETO&lt;/option&gt;</v>
      </c>
      <c r="E29" s="6" t="s">
        <v>97</v>
      </c>
      <c r="F29" s="4" t="str">
        <f t="shared" si="2"/>
        <v>INSERT INTO PARA (DOMINIO,CODICE,ID_UTENTE_INS) VALUES ('GAS','G28',(SELECT ID_UTENTE FROM UTENTI WHERE USERNAME='armando.canto@airliquide.com'));</v>
      </c>
      <c r="G29" s="4" t="str">
        <f t="shared" si="3"/>
        <v>INSERT INTO PARAMETRI_LINGUE (ID_PARA,ID_LINGUE_ISO,DESCRIZIONE) VALUES ((SELECT ID_PARA FROM PARA WHERE DOMINIO='GAS' AND CODICE='G28'),0,'ETO');</v>
      </c>
      <c r="H29" t="str">
        <f t="shared" si="7"/>
        <v>&lt;option value='Trevenzuolo (VR)' selected&gt;Trevenzuolo (VR)&lt;/option&gt;</v>
      </c>
      <c r="I29" s="3" t="s">
        <v>98</v>
      </c>
      <c r="J29" s="4"/>
      <c r="L29" s="10" t="s">
        <v>99</v>
      </c>
      <c r="N29" t="str">
        <f t="shared" si="6"/>
        <v>&lt;option value='Residuo dell'evaporazione'&gt;Residuo dell'evaporazione&lt;/option&gt;</v>
      </c>
      <c r="O29" s="6" t="s">
        <v>100</v>
      </c>
      <c r="P29" s="7"/>
    </row>
    <row r="30" spans="1:16" ht="12.75" x14ac:dyDescent="0.2">
      <c r="H30" t="str">
        <f t="shared" si="7"/>
        <v>&lt;option value='Trevenzuolo NAZIONALE - ITKF' selected&gt;Trevenzuolo NAZIONALE - ITKF&lt;/option&gt;</v>
      </c>
      <c r="I30" s="3" t="s">
        <v>101</v>
      </c>
      <c r="J30" s="4"/>
    </row>
    <row r="31" spans="1:16" ht="12.75" x14ac:dyDescent="0.2">
      <c r="E31" s="1" t="s">
        <v>102</v>
      </c>
      <c r="F31" s="2"/>
      <c r="G31" s="43"/>
      <c r="H31" t="str">
        <f t="shared" si="7"/>
        <v>&lt;option value='Padova' selected&gt;Padova&lt;/option&gt;</v>
      </c>
      <c r="I31" s="3" t="s">
        <v>103</v>
      </c>
      <c r="J31" s="4"/>
    </row>
    <row r="32" spans="1:16" ht="12.75" x14ac:dyDescent="0.2">
      <c r="D32" t="str">
        <f t="shared" ref="D32:D71" si="8">CONCATENATE("&lt;option value='",E32,"'&gt;",E32,"&lt;/option&gt;")</f>
        <v>&lt;option value='OSSIGENO Industriale '&gt;OSSIGENO Industriale &lt;/option&gt;</v>
      </c>
      <c r="E32" s="11" t="s">
        <v>104</v>
      </c>
      <c r="F32" s="4"/>
      <c r="G32" s="43"/>
      <c r="H32" t="str">
        <f t="shared" si="7"/>
        <v>&lt;option value='Modena' selected&gt;Modena&lt;/option&gt;</v>
      </c>
      <c r="I32" s="3" t="s">
        <v>105</v>
      </c>
      <c r="J32" s="4"/>
    </row>
    <row r="33" spans="4:10" ht="12.75" x14ac:dyDescent="0.2">
      <c r="D33" t="str">
        <f t="shared" si="8"/>
        <v>&lt;option value='ACETILENE Industriale'&gt;ACETILENE Industriale&lt;/option&gt;</v>
      </c>
      <c r="E33" s="11" t="s">
        <v>106</v>
      </c>
      <c r="F33" s="4"/>
      <c r="G33" s="43"/>
      <c r="H33" t="str">
        <f t="shared" si="7"/>
        <v>&lt;option value='Ravenna' selected&gt;Ravenna&lt;/option&gt;</v>
      </c>
      <c r="I33" s="3" t="s">
        <v>107</v>
      </c>
      <c r="J33" s="4"/>
    </row>
    <row r="34" spans="4:10" ht="12.75" x14ac:dyDescent="0.2">
      <c r="D34" t="str">
        <f t="shared" si="8"/>
        <v>&lt;option value='DIOSSIDO DI CARBONIO industriale'&gt;DIOSSIDO DI CARBONIO industriale&lt;/option&gt;</v>
      </c>
      <c r="E34" s="11" t="s">
        <v>108</v>
      </c>
      <c r="F34" s="4"/>
      <c r="G34" s="43"/>
      <c r="H34" t="str">
        <f t="shared" si="7"/>
        <v>&lt;option value='Porto Recanati (MC)' selected&gt;Porto Recanati (MC)&lt;/option&gt;</v>
      </c>
      <c r="I34" s="3" t="s">
        <v>109</v>
      </c>
      <c r="J34" s="4"/>
    </row>
    <row r="35" spans="4:10" ht="12.75" x14ac:dyDescent="0.2">
      <c r="D35" t="str">
        <f t="shared" si="8"/>
        <v>&lt;option value='ELIO Industriale'&gt;ELIO Industriale&lt;/option&gt;</v>
      </c>
      <c r="E35" s="11" t="s">
        <v>110</v>
      </c>
      <c r="F35" s="4"/>
      <c r="G35" s="43"/>
      <c r="H35" t="str">
        <f t="shared" si="7"/>
        <v>&lt;option value='Lucca' selected&gt;Lucca&lt;/option&gt;</v>
      </c>
      <c r="I35" s="3" t="s">
        <v>111</v>
      </c>
      <c r="J35" s="4"/>
    </row>
    <row r="36" spans="4:10" ht="12.75" x14ac:dyDescent="0.2">
      <c r="D36" t="str">
        <f t="shared" si="8"/>
        <v>&lt;option value='AZOTO Industriale'&gt;AZOTO Industriale&lt;/option&gt;</v>
      </c>
      <c r="E36" s="11" t="s">
        <v>112</v>
      </c>
      <c r="F36" s="4"/>
      <c r="G36" s="43"/>
      <c r="H36" t="str">
        <f t="shared" si="7"/>
        <v>&lt;option value='Lanuvio (RM)' selected&gt;Lanuvio (RM)&lt;/option&gt;</v>
      </c>
      <c r="I36" s="3" t="s">
        <v>113</v>
      </c>
      <c r="J36" s="4"/>
    </row>
    <row r="37" spans="4:10" ht="12.75" x14ac:dyDescent="0.2">
      <c r="D37" t="str">
        <f t="shared" si="8"/>
        <v>&lt;option value='IDROGENO industriale'&gt;IDROGENO industriale&lt;/option&gt;</v>
      </c>
      <c r="E37" s="11" t="s">
        <v>114</v>
      </c>
      <c r="F37" s="4"/>
      <c r="G37" s="43"/>
      <c r="H37" t="str">
        <f t="shared" si="7"/>
        <v>&lt;option value='Caserta (CE)' selected&gt;Caserta (CE)&lt;/option&gt;</v>
      </c>
      <c r="I37" s="3" t="s">
        <v>115</v>
      </c>
      <c r="J37" s="4"/>
    </row>
    <row r="38" spans="4:10" ht="12.75" x14ac:dyDescent="0.2">
      <c r="D38" t="str">
        <f t="shared" si="8"/>
        <v>&lt;option value='NOXAL Infiammabile'&gt;NOXAL Infiammabile&lt;/option&gt;</v>
      </c>
      <c r="E38" s="11" t="s">
        <v>116</v>
      </c>
      <c r="F38" s="4"/>
      <c r="G38" s="43"/>
      <c r="H38" t="str">
        <f t="shared" si="7"/>
        <v>&lt;option value='Ostuni (BR)' selected&gt;Ostuni (BR)&lt;/option&gt;</v>
      </c>
      <c r="I38" s="3" t="s">
        <v>117</v>
      </c>
      <c r="J38" s="4"/>
    </row>
    <row r="39" spans="4:10" ht="12.75" x14ac:dyDescent="0.2">
      <c r="D39" t="str">
        <f t="shared" si="8"/>
        <v>&lt;option value='NOXAL Inerte'&gt;NOXAL Inerte&lt;/option&gt;</v>
      </c>
      <c r="E39" s="11" t="s">
        <v>118</v>
      </c>
      <c r="F39" s="4"/>
      <c r="G39" s="43"/>
      <c r="H39" t="str">
        <f t="shared" si="7"/>
        <v>&lt;option value='Priolo (SR)' selected&gt;Priolo (SR)&lt;/option&gt;</v>
      </c>
      <c r="I39" s="3" t="s">
        <v>119</v>
      </c>
      <c r="J39" s="4"/>
    </row>
    <row r="40" spans="4:10" ht="12.75" x14ac:dyDescent="0.2">
      <c r="D40" t="str">
        <f t="shared" si="8"/>
        <v>&lt;option value='ARIA Industriale NON RESPIRABILE'&gt;ARIA Industriale NON RESPIRABILE&lt;/option&gt;</v>
      </c>
      <c r="E40" s="11" t="s">
        <v>120</v>
      </c>
      <c r="F40" s="4"/>
      <c r="G40" s="43"/>
      <c r="H40" t="str">
        <f t="shared" si="7"/>
        <v>&lt;option value='Assemini (CA)' selected&gt;Assemini (CA)&lt;/option&gt;</v>
      </c>
      <c r="I40" s="6" t="s">
        <v>121</v>
      </c>
      <c r="J40" s="7"/>
    </row>
    <row r="41" spans="4:10" ht="12.75" x14ac:dyDescent="0.2">
      <c r="D41" t="str">
        <f t="shared" si="8"/>
        <v>&lt;option value='ATAL industriale'&gt;ATAL industriale&lt;/option&gt;</v>
      </c>
      <c r="E41" s="11" t="s">
        <v>122</v>
      </c>
      <c r="F41" s="4"/>
      <c r="G41" s="43"/>
    </row>
    <row r="42" spans="4:10" ht="12.75" x14ac:dyDescent="0.2">
      <c r="D42" t="str">
        <f t="shared" si="8"/>
        <v>&lt;option value='Argon Industriale'&gt;Argon Industriale&lt;/option&gt;</v>
      </c>
      <c r="E42" s="11" t="s">
        <v>123</v>
      </c>
      <c r="F42" s="4"/>
      <c r="G42" s="43"/>
    </row>
    <row r="43" spans="4:10" ht="12.75" x14ac:dyDescent="0.2">
      <c r="D43" t="str">
        <f t="shared" si="8"/>
        <v>&lt;option value='SIOETIL'&gt;SIOETIL&lt;/option&gt;</v>
      </c>
      <c r="E43" s="11" t="s">
        <v>124</v>
      </c>
      <c r="F43" s="4"/>
      <c r="G43" s="43"/>
    </row>
    <row r="44" spans="4:10" ht="12.75" x14ac:dyDescent="0.2">
      <c r="D44" t="str">
        <f t="shared" si="8"/>
        <v>&lt;option value='MIX AZOTO - IDROGENO INERTE'&gt;MIX AZOTO - IDROGENO INERTE&lt;/option&gt;</v>
      </c>
      <c r="E44" s="11" t="s">
        <v>125</v>
      </c>
      <c r="F44" s="4"/>
      <c r="G44" s="43"/>
    </row>
    <row r="45" spans="4:10" ht="12.75" x14ac:dyDescent="0.2">
      <c r="D45" t="str">
        <f t="shared" si="8"/>
        <v>&lt;option value='ALIGAL 1'&gt;ALIGAL 1&lt;/option&gt;</v>
      </c>
      <c r="E45" s="11" t="s">
        <v>126</v>
      </c>
      <c r="F45" s="4"/>
      <c r="G45" s="43"/>
    </row>
    <row r="46" spans="4:10" ht="12.75" x14ac:dyDescent="0.2">
      <c r="D46" t="str">
        <f t="shared" si="8"/>
        <v>&lt;option value='ALIGAL 2 '&gt;ALIGAL 2 &lt;/option&gt;</v>
      </c>
      <c r="E46" s="11" t="s">
        <v>127</v>
      </c>
      <c r="F46" s="4"/>
      <c r="G46" s="43"/>
    </row>
    <row r="47" spans="4:10" ht="12.75" x14ac:dyDescent="0.2">
      <c r="D47" t="str">
        <f t="shared" si="8"/>
        <v>&lt;option value='ALIGAL 3'&gt;ALIGAL 3&lt;/option&gt;</v>
      </c>
      <c r="E47" s="11" t="s">
        <v>128</v>
      </c>
      <c r="F47" s="4"/>
      <c r="G47" s="43"/>
    </row>
    <row r="48" spans="4:10" ht="12.75" x14ac:dyDescent="0.2">
      <c r="D48" t="str">
        <f t="shared" si="8"/>
        <v>&lt;option value='ALIGAL 6'&gt;ALIGAL 6&lt;/option&gt;</v>
      </c>
      <c r="E48" s="11" t="s">
        <v>129</v>
      </c>
      <c r="F48" s="4"/>
      <c r="G48" s="43"/>
    </row>
    <row r="49" spans="4:7" ht="12.75" x14ac:dyDescent="0.2">
      <c r="D49" t="str">
        <f t="shared" si="8"/>
        <v>&lt;option value='ALIGAL MIX'&gt;ALIGAL MIX&lt;/option&gt;</v>
      </c>
      <c r="E49" s="11" t="s">
        <v>130</v>
      </c>
      <c r="F49" s="4"/>
      <c r="G49" s="43"/>
    </row>
    <row r="50" spans="4:7" ht="12.75" x14ac:dyDescent="0.2">
      <c r="D50" t="str">
        <f t="shared" si="8"/>
        <v>&lt;option value='ALIGAL 49'&gt;ALIGAL 49&lt;/option&gt;</v>
      </c>
      <c r="E50" s="11" t="s">
        <v>131</v>
      </c>
      <c r="F50" s="4"/>
      <c r="G50" s="43"/>
    </row>
    <row r="51" spans="4:7" ht="12.75" x14ac:dyDescent="0.2">
      <c r="D51" t="str">
        <f t="shared" si="8"/>
        <v>&lt;option value='ALIGAL 62'&gt;ALIGAL 62&lt;/option&gt;</v>
      </c>
      <c r="E51" s="11" t="s">
        <v>132</v>
      </c>
      <c r="F51" s="4"/>
      <c r="G51" s="43"/>
    </row>
    <row r="52" spans="4:7" ht="12.75" x14ac:dyDescent="0.2">
      <c r="D52" t="str">
        <f t="shared" si="8"/>
        <v>&lt;option value='ARCAL 1'&gt;ARCAL 1&lt;/option&gt;</v>
      </c>
      <c r="E52" s="11" t="s">
        <v>133</v>
      </c>
      <c r="F52" s="4"/>
      <c r="G52" s="43"/>
    </row>
    <row r="53" spans="4:7" ht="12.75" x14ac:dyDescent="0.2">
      <c r="D53" t="str">
        <f t="shared" si="8"/>
        <v>&lt;option value='ARCAL MIX'&gt;ARCAL MIX&lt;/option&gt;</v>
      </c>
      <c r="E53" s="11" t="s">
        <v>134</v>
      </c>
      <c r="F53" s="4"/>
      <c r="G53" s="43"/>
    </row>
    <row r="54" spans="4:7" ht="12.75" x14ac:dyDescent="0.2">
      <c r="D54" t="str">
        <f t="shared" si="8"/>
        <v>&lt;option value='ARCA MIX TP'&gt;ARCA MIX TP&lt;/option&gt;</v>
      </c>
      <c r="E54" s="11" t="s">
        <v>135</v>
      </c>
      <c r="F54" s="4"/>
      <c r="G54" s="43"/>
    </row>
    <row r="55" spans="4:7" ht="12.75" x14ac:dyDescent="0.2">
      <c r="D55" t="str">
        <f t="shared" si="8"/>
        <v>&lt;option value='ACETILENE  N26'&gt;ACETILENE  N26&lt;/option&gt;</v>
      </c>
      <c r="E55" s="11" t="s">
        <v>136</v>
      </c>
      <c r="F55" s="4"/>
      <c r="G55" s="43"/>
    </row>
    <row r="56" spans="4:7" ht="12.75" x14ac:dyDescent="0.2">
      <c r="D56" t="str">
        <f t="shared" si="8"/>
        <v>&lt;option value='OSSIGENO ALTOP'&gt;OSSIGENO ALTOP&lt;/option&gt;</v>
      </c>
      <c r="E56" s="11" t="s">
        <v>137</v>
      </c>
      <c r="F56" s="4"/>
      <c r="G56" s="43"/>
    </row>
    <row r="57" spans="4:7" ht="12.75" x14ac:dyDescent="0.2">
      <c r="D57" t="str">
        <f t="shared" si="8"/>
        <v>&lt;option value='LASAL MIX/81'&gt;LASAL MIX/81&lt;/option&gt;</v>
      </c>
      <c r="E57" s="11" t="s">
        <v>138</v>
      </c>
      <c r="F57" s="4"/>
      <c r="G57" s="43"/>
    </row>
    <row r="58" spans="4:7" ht="12.75" x14ac:dyDescent="0.2">
      <c r="D58" t="str">
        <f t="shared" si="8"/>
        <v>&lt;option value='LASAL 1'&gt;LASAL 1&lt;/option&gt;</v>
      </c>
      <c r="E58" s="11" t="s">
        <v>139</v>
      </c>
      <c r="F58" s="4"/>
      <c r="G58" s="43"/>
    </row>
    <row r="59" spans="4:7" ht="12.75" x14ac:dyDescent="0.2">
      <c r="D59" t="str">
        <f t="shared" si="8"/>
        <v>&lt;option value='LASAL 2'&gt;LASAL 2&lt;/option&gt;</v>
      </c>
      <c r="E59" s="11" t="s">
        <v>140</v>
      </c>
      <c r="F59" s="4"/>
      <c r="G59" s="43"/>
    </row>
    <row r="60" spans="4:7" ht="12.75" x14ac:dyDescent="0.2">
      <c r="D60" t="str">
        <f t="shared" si="8"/>
        <v>&lt;option value='LASAL 2003'&gt;LASAL 2003&lt;/option&gt;</v>
      </c>
      <c r="E60" s="11" t="s">
        <v>141</v>
      </c>
      <c r="F60" s="4"/>
      <c r="G60" s="43"/>
    </row>
    <row r="61" spans="4:7" ht="12.75" x14ac:dyDescent="0.2">
      <c r="D61" t="str">
        <f t="shared" si="8"/>
        <v>&lt;option value='LASAL 83'&gt;LASAL 83&lt;/option&gt;</v>
      </c>
      <c r="E61" s="11" t="s">
        <v>142</v>
      </c>
      <c r="F61" s="4"/>
      <c r="G61" s="43"/>
    </row>
    <row r="62" spans="4:7" ht="12.75" x14ac:dyDescent="0.2">
      <c r="D62" t="str">
        <f t="shared" si="8"/>
        <v>&lt;option value='N2O PURO'&gt;N2O PURO&lt;/option&gt;</v>
      </c>
      <c r="E62" s="11" t="s">
        <v>143</v>
      </c>
      <c r="F62" s="4"/>
      <c r="G62" s="43"/>
    </row>
    <row r="63" spans="4:7" ht="12.75" x14ac:dyDescent="0.2">
      <c r="D63" t="str">
        <f t="shared" si="8"/>
        <v>&lt;option value='ALPHAGAZ ELIO'&gt;ALPHAGAZ ELIO&lt;/option&gt;</v>
      </c>
      <c r="E63" s="11" t="s">
        <v>144</v>
      </c>
      <c r="F63" s="4"/>
      <c r="G63" s="43"/>
    </row>
    <row r="64" spans="4:7" ht="12.75" x14ac:dyDescent="0.2">
      <c r="D64" t="str">
        <f t="shared" si="8"/>
        <v>&lt;option value='ALPHAGAZ  ARGON'&gt;ALPHAGAZ  ARGON&lt;/option&gt;</v>
      </c>
      <c r="E64" s="11" t="s">
        <v>145</v>
      </c>
      <c r="F64" s="4"/>
      <c r="G64" s="43"/>
    </row>
    <row r="65" spans="4:7" ht="12.75" x14ac:dyDescent="0.2">
      <c r="D65" t="str">
        <f t="shared" si="8"/>
        <v>&lt;option value='ALPHAGAZ ARIA'&gt;ALPHAGAZ ARIA&lt;/option&gt;</v>
      </c>
      <c r="E65" s="11" t="s">
        <v>146</v>
      </c>
      <c r="F65" s="4"/>
      <c r="G65" s="43"/>
    </row>
    <row r="66" spans="4:7" ht="12.75" x14ac:dyDescent="0.2">
      <c r="D66" t="str">
        <f t="shared" si="8"/>
        <v>&lt;option value='ALPHAGAZ OSSIGENO'&gt;ALPHAGAZ OSSIGENO&lt;/option&gt;</v>
      </c>
      <c r="E66" s="11" t="s">
        <v>147</v>
      </c>
      <c r="F66" s="4"/>
      <c r="G66" s="43"/>
    </row>
    <row r="67" spans="4:7" ht="12.75" x14ac:dyDescent="0.2">
      <c r="D67" t="str">
        <f t="shared" si="8"/>
        <v>&lt;option value='ALPHAGAZ AZOTO'&gt;ALPHAGAZ AZOTO&lt;/option&gt;</v>
      </c>
      <c r="E67" s="11" t="s">
        <v>148</v>
      </c>
      <c r="F67" s="4"/>
      <c r="G67" s="43"/>
    </row>
    <row r="68" spans="4:7" ht="12.75" x14ac:dyDescent="0.2">
      <c r="D68" t="str">
        <f t="shared" si="8"/>
        <v>&lt;option value='AHG MIX Inerte'&gt;AHG MIX Inerte&lt;/option&gt;</v>
      </c>
      <c r="E68" s="11" t="s">
        <v>149</v>
      </c>
      <c r="F68" s="4"/>
      <c r="G68" s="43"/>
    </row>
    <row r="69" spans="4:7" ht="12.75" x14ac:dyDescent="0.2">
      <c r="D69" t="str">
        <f t="shared" si="8"/>
        <v>&lt;option value='AHG MIX Infiammabile'&gt;AHG MIX Infiammabile&lt;/option&gt;</v>
      </c>
      <c r="E69" s="11" t="s">
        <v>150</v>
      </c>
      <c r="F69" s="4"/>
      <c r="G69" s="43"/>
    </row>
    <row r="70" spans="4:7" ht="12.75" x14ac:dyDescent="0.2">
      <c r="D70" t="str">
        <f t="shared" si="8"/>
        <v>&lt;option value='CO2 PURO senza TP'&gt;CO2 PURO senza TP&lt;/option&gt;</v>
      </c>
      <c r="E70" s="11" t="s">
        <v>151</v>
      </c>
      <c r="F70" s="4"/>
      <c r="G70" s="43"/>
    </row>
    <row r="71" spans="4:7" ht="12.75" x14ac:dyDescent="0.2">
      <c r="D71" t="str">
        <f t="shared" si="8"/>
        <v>&lt;option value='CO2 PURO con TP'&gt;CO2 PURO con TP&lt;/option&gt;</v>
      </c>
      <c r="E71" s="12" t="s">
        <v>152</v>
      </c>
      <c r="F71" s="7"/>
      <c r="G71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1"/>
  <sheetViews>
    <sheetView topLeftCell="D46" zoomScale="85" zoomScaleNormal="85" workbookViewId="0">
      <selection activeCell="J22" sqref="J22"/>
    </sheetView>
  </sheetViews>
  <sheetFormatPr defaultColWidth="14.42578125" defaultRowHeight="15.75" customHeight="1" x14ac:dyDescent="0.2"/>
  <cols>
    <col min="1" max="3" width="0" style="42" hidden="1" customWidth="1"/>
    <col min="4" max="4" width="86.28515625" style="42" bestFit="1" customWidth="1"/>
    <col min="5" max="5" width="6.85546875" style="45" customWidth="1"/>
    <col min="6" max="6" width="10.85546875" style="42" customWidth="1"/>
    <col min="7" max="7" width="32.28515625" style="42" bestFit="1" customWidth="1"/>
    <col min="8" max="8" width="10.85546875" style="42" hidden="1" customWidth="1"/>
    <col min="9" max="9" width="166" style="42" hidden="1" customWidth="1"/>
    <col min="10" max="10" width="14.42578125" style="42"/>
    <col min="11" max="12" width="14.42578125" style="45"/>
    <col min="13" max="15" width="14.42578125" style="42"/>
    <col min="16" max="16" width="5" style="45" customWidth="1"/>
    <col min="17" max="17" width="8.5703125" style="45" customWidth="1"/>
    <col min="18" max="18" width="16.5703125" style="42" customWidth="1"/>
    <col min="19" max="20" width="14.42578125" style="42"/>
    <col min="21" max="21" width="4.140625" style="45" customWidth="1"/>
    <col min="22" max="22" width="5" style="45" customWidth="1"/>
    <col min="23" max="16384" width="14.42578125" style="42"/>
  </cols>
  <sheetData>
    <row r="1" spans="1:24" ht="15.75" customHeight="1" x14ac:dyDescent="0.2">
      <c r="G1" s="1" t="s">
        <v>0</v>
      </c>
      <c r="H1" s="2"/>
      <c r="I1" s="43"/>
      <c r="M1" s="1" t="s">
        <v>1</v>
      </c>
      <c r="N1" s="2"/>
      <c r="R1" s="1" t="s">
        <v>2</v>
      </c>
      <c r="S1" s="2"/>
      <c r="W1" s="1" t="s">
        <v>3</v>
      </c>
      <c r="X1" s="2"/>
    </row>
    <row r="2" spans="1:24" ht="15.75" customHeight="1" x14ac:dyDescent="0.2">
      <c r="A2" s="42" t="s">
        <v>316</v>
      </c>
      <c r="B2" s="42" t="str">
        <f t="shared" ref="B2:B29" si="0">CONCATENATE("INSERT INTO TABELLE_PARAMETRI (DOMINIO,DESCRIZIONE) VALUES ('GAS','",G2,"');")</f>
        <v>INSERT INTO TABELLE_PARAMETRI (DOMINIO,DESCRIZIONE) VALUES ('GAS','C₂H₂');</v>
      </c>
      <c r="D2" s="42" t="str">
        <f>CONCATENATE("insert into parametri (dominio,codice,descrizione) values ('",E2,"','",F2,"','",G2,"');")</f>
        <v>insert into parametri (dominio,codice,descrizione) values ('GAS','G01','C₂H₂');</v>
      </c>
      <c r="E2" s="46" t="s">
        <v>376</v>
      </c>
      <c r="F2" s="42" t="s">
        <v>316</v>
      </c>
      <c r="G2" s="11" t="s">
        <v>351</v>
      </c>
      <c r="H2" s="4" t="str">
        <f>CONCATENATE("INSERT INTO PARA (DOMINIO,CODICE,ID_UTENTE_INS) VALUES ('GAS','",A2,"',(SELECT ID_UTENTE FROM UTENTI WHERE USERNAME='armando.canto@airliquide.com'));")</f>
        <v>INSERT INTO PARA (DOMINIO,CODICE,ID_UTENTE_INS) VALUES ('GAS','G01',(SELECT ID_UTENTE FROM UTENTI WHERE USERNAME='armando.canto@airliquide.com'));</v>
      </c>
      <c r="I2" s="4" t="str">
        <f>CONCATENATE("INSERT INTO PARAMETRI_LINGUE (ID_PARA,ID_LINGUE_ISO,DESCRIZIONE) VALUES ((SELECT ID_PARA FROM PARA WHERE DOMINIO='GAS' AND CODICE='",A2,"'),0,'",G2,"');")</f>
        <v>INSERT INTO PARAMETRI_LINGUE (ID_PARA,ID_LINGUE_ISO,DESCRIZIONE) VALUES ((SELECT ID_PARA FROM PARA WHERE DOMINIO='GAS' AND CODICE='G01'),0,'C₂H₂');</v>
      </c>
      <c r="J2" s="45" t="str">
        <f>CONCATENATE("insert into parametri (dominio,codice,descrizione) values ('",K2,"','",L2,"','",M2,"');")</f>
        <v>insert into parametri (dominio,codice,descrizione) values ('STR','S01','Buretta Claude');</v>
      </c>
      <c r="K2" s="46" t="s">
        <v>377</v>
      </c>
      <c r="L2" s="45" t="s">
        <v>362</v>
      </c>
      <c r="M2" s="11" t="s">
        <v>5</v>
      </c>
      <c r="N2" s="4"/>
      <c r="O2" s="46" t="str">
        <f>CONCATENATE("insert into parametri (dominio,codice,descrizione) values ('",P2,"','",Q2,"','",R2,"');")</f>
        <v>insert into parametri (dominio,codice,descrizione) values ('FQA','F01','1 analisi / lotto carburo');</v>
      </c>
      <c r="P2" s="47" t="s">
        <v>378</v>
      </c>
      <c r="Q2" s="47" t="s">
        <v>379</v>
      </c>
      <c r="R2" s="11" t="s">
        <v>6</v>
      </c>
      <c r="S2" s="4"/>
      <c r="T2" s="46" t="str">
        <f>CONCATENATE("insert into parametri (dominio,codice,descrizione) values ('",U2,"','",V2,"','",W2,"');")</f>
        <v>insert into parametri (dominio,codice,descrizione) values ('IMP','I01','N₂');</v>
      </c>
      <c r="U2" s="47" t="s">
        <v>395</v>
      </c>
      <c r="V2" s="47" t="s">
        <v>396</v>
      </c>
      <c r="W2" s="48" t="s">
        <v>354</v>
      </c>
      <c r="X2" s="4"/>
    </row>
    <row r="3" spans="1:24" ht="15.75" customHeight="1" x14ac:dyDescent="0.2">
      <c r="A3" s="42" t="s">
        <v>317</v>
      </c>
      <c r="B3" s="42" t="str">
        <f t="shared" si="0"/>
        <v>INSERT INTO TABELLE_PARAMETRI (DOMINIO,DESCRIZIONE) VALUES ('GAS','C₂H₄');</v>
      </c>
      <c r="D3" s="45" t="str">
        <f t="shared" ref="D3:D29" si="1">CONCATENATE("insert into parametri (dominio,codice,descrizione) values ('",E3,"','",F3,"','",G3,"');")</f>
        <v>insert into parametri (dominio,codice,descrizione) values ('GAS','G02','C₂H₄');</v>
      </c>
      <c r="E3" s="46" t="s">
        <v>376</v>
      </c>
      <c r="F3" s="42" t="s">
        <v>317</v>
      </c>
      <c r="G3" s="11" t="s">
        <v>355</v>
      </c>
      <c r="H3" s="4" t="str">
        <f t="shared" ref="H3:H29" si="2">CONCATENATE("INSERT INTO PARA (DOMINIO,CODICE,ID_UTENTE_INS) VALUES ('GAS','",A3,"',(SELECT ID_UTENTE FROM UTENTI WHERE USERNAME='armando.canto@airliquide.com'));")</f>
        <v>INSERT INTO PARA (DOMINIO,CODICE,ID_UTENTE_INS) VALUES ('GAS','G02',(SELECT ID_UTENTE FROM UTENTI WHERE USERNAME='armando.canto@airliquide.com'));</v>
      </c>
      <c r="I3" s="4" t="str">
        <f t="shared" ref="I3:I29" si="3">CONCATENATE("INSERT INTO PARAMETRI_LINGUE (ID_PARA,ID_LINGUE_ISO,DESCRIZIONE) VALUES ((SELECT ID_PARA FROM PARA WHERE DOMINIO='GAS' AND CODICE='",A3,"'),0,'",G3,"');")</f>
        <v>INSERT INTO PARAMETRI_LINGUE (ID_PARA,ID_LINGUE_ISO,DESCRIZIONE) VALUES ((SELECT ID_PARA FROM PARA WHERE DOMINIO='GAS' AND CODICE='G02'),0,'C₂H₄');</v>
      </c>
      <c r="J3" s="45" t="str">
        <f t="shared" ref="J3:J15" si="4">CONCATENATE("insert into parametri (dominio,codice,descrizione) values ('",K3,"','",L3,"','",M3,"');")</f>
        <v>insert into parametri (dominio,codice,descrizione) values ('STR','S02','EL');</v>
      </c>
      <c r="K3" s="46" t="s">
        <v>377</v>
      </c>
      <c r="L3" s="45" t="s">
        <v>363</v>
      </c>
      <c r="M3" s="11" t="s">
        <v>9</v>
      </c>
      <c r="N3" s="4"/>
      <c r="O3" s="46" t="str">
        <f t="shared" ref="O3:O10" si="5">CONCATENATE("insert into parametri (dominio,codice,descrizione) values ('",P3,"','",Q3,"','",R3,"');")</f>
        <v>insert into parametri (dominio,codice,descrizione) values ('FQA','F02','1 bombola / lotto');</v>
      </c>
      <c r="P3" s="47" t="s">
        <v>378</v>
      </c>
      <c r="Q3" s="47" t="s">
        <v>380</v>
      </c>
      <c r="R3" s="11" t="s">
        <v>10</v>
      </c>
      <c r="S3" s="4"/>
      <c r="T3" s="46" t="str">
        <f t="shared" ref="T3:T26" si="6">CONCATENATE("insert into parametri (dominio,codice,descrizione) values ('",U3,"','",V3,"','",W3,"');")</f>
        <v>insert into parametri (dominio,codice,descrizione) values ('IMP','I02','AsH₃');</v>
      </c>
      <c r="U3" s="47" t="s">
        <v>395</v>
      </c>
      <c r="V3" s="47" t="s">
        <v>397</v>
      </c>
      <c r="W3" s="48" t="s">
        <v>388</v>
      </c>
      <c r="X3" s="4"/>
    </row>
    <row r="4" spans="1:24" ht="15.75" customHeight="1" x14ac:dyDescent="0.2">
      <c r="A4" s="42" t="s">
        <v>318</v>
      </c>
      <c r="B4" s="42" t="str">
        <f t="shared" si="0"/>
        <v>INSERT INTO TABELLE_PARAMETRI (DOMINIO,DESCRIZIONE) VALUES ('GAS','CO₂');</v>
      </c>
      <c r="D4" s="45" t="str">
        <f t="shared" si="1"/>
        <v>insert into parametri (dominio,codice,descrizione) values ('GAS','G03','CO₂');</v>
      </c>
      <c r="E4" s="46" t="s">
        <v>376</v>
      </c>
      <c r="F4" s="42" t="s">
        <v>318</v>
      </c>
      <c r="G4" s="11" t="s">
        <v>352</v>
      </c>
      <c r="H4" s="4" t="str">
        <f t="shared" si="2"/>
        <v>INSERT INTO PARA (DOMINIO,CODICE,ID_UTENTE_INS) VALUES ('GAS','G03',(SELECT ID_UTENTE FROM UTENTI WHERE USERNAME='armando.canto@airliquide.com'));</v>
      </c>
      <c r="I4" s="4" t="str">
        <f t="shared" si="3"/>
        <v>INSERT INTO PARAMETRI_LINGUE (ID_PARA,ID_LINGUE_ISO,DESCRIZIONE) VALUES ((SELECT ID_PARA FROM PARA WHERE DOMINIO='GAS' AND CODICE='G03'),0,'CO₂');</v>
      </c>
      <c r="J4" s="45" t="str">
        <f t="shared" si="4"/>
        <v>insert into parametri (dominio,codice,descrizione) values ('STR','S03','IR');</v>
      </c>
      <c r="K4" s="46" t="s">
        <v>377</v>
      </c>
      <c r="L4" s="45" t="s">
        <v>364</v>
      </c>
      <c r="M4" s="11" t="s">
        <v>13</v>
      </c>
      <c r="N4" s="4"/>
      <c r="O4" s="46" t="str">
        <f t="shared" si="5"/>
        <v>insert into parametri (dominio,codice,descrizione) values ('FQA','F03','1 bombola / lotto solo 1°riempimento');</v>
      </c>
      <c r="P4" s="47" t="s">
        <v>378</v>
      </c>
      <c r="Q4" s="47" t="s">
        <v>381</v>
      </c>
      <c r="R4" s="11" t="s">
        <v>14</v>
      </c>
      <c r="S4" s="4"/>
      <c r="T4" s="46" t="str">
        <f t="shared" si="6"/>
        <v>insert into parametri (dominio,codice,descrizione) values ('IMP','I03','H₂O (5 bar)');</v>
      </c>
      <c r="U4" s="47" t="s">
        <v>395</v>
      </c>
      <c r="V4" s="47" t="s">
        <v>398</v>
      </c>
      <c r="W4" s="48" t="s">
        <v>389</v>
      </c>
      <c r="X4" s="4"/>
    </row>
    <row r="5" spans="1:24" ht="15.75" customHeight="1" x14ac:dyDescent="0.2">
      <c r="A5" s="42" t="s">
        <v>319</v>
      </c>
      <c r="B5" s="42" t="str">
        <f t="shared" si="0"/>
        <v>INSERT INTO TABELLE_PARAMETRI (DOMINIO,DESCRIZIONE) VALUES ('GAS','N₂');</v>
      </c>
      <c r="D5" s="45" t="str">
        <f t="shared" si="1"/>
        <v>insert into parametri (dominio,codice,descrizione) values ('GAS','G04','N₂');</v>
      </c>
      <c r="E5" s="46" t="s">
        <v>376</v>
      </c>
      <c r="F5" s="42" t="s">
        <v>319</v>
      </c>
      <c r="G5" s="11" t="s">
        <v>354</v>
      </c>
      <c r="H5" s="4" t="str">
        <f t="shared" si="2"/>
        <v>INSERT INTO PARA (DOMINIO,CODICE,ID_UTENTE_INS) VALUES ('GAS','G04',(SELECT ID_UTENTE FROM UTENTI WHERE USERNAME='armando.canto@airliquide.com'));</v>
      </c>
      <c r="I5" s="4" t="str">
        <f t="shared" si="3"/>
        <v>INSERT INTO PARAMETRI_LINGUE (ID_PARA,ID_LINGUE_ISO,DESCRIZIONE) VALUES ((SELECT ID_PARA FROM PARA WHERE DOMINIO='GAS' AND CODICE='G04'),0,'N₂');</v>
      </c>
      <c r="J5" s="45" t="str">
        <f t="shared" si="4"/>
        <v>insert into parametri (dominio,codice,descrizione) values ('STR','S04','PM');</v>
      </c>
      <c r="K5" s="46" t="s">
        <v>377</v>
      </c>
      <c r="L5" s="45" t="s">
        <v>365</v>
      </c>
      <c r="M5" s="11" t="s">
        <v>17</v>
      </c>
      <c r="N5" s="4"/>
      <c r="O5" s="46" t="str">
        <f t="shared" si="5"/>
        <v>insert into parametri (dominio,codice,descrizione) values ('FQA','F04','1 bombola / cambio cisterna');</v>
      </c>
      <c r="P5" s="47" t="s">
        <v>378</v>
      </c>
      <c r="Q5" s="47" t="s">
        <v>382</v>
      </c>
      <c r="R5" s="11" t="s">
        <v>18</v>
      </c>
      <c r="S5" s="4"/>
      <c r="T5" s="46" t="str">
        <f t="shared" si="6"/>
        <v>insert into parametri (dominio,codice,descrizione) values ('IMP','I04','H₂O');</v>
      </c>
      <c r="U5" s="47" t="s">
        <v>395</v>
      </c>
      <c r="V5" s="47" t="s">
        <v>399</v>
      </c>
      <c r="W5" s="48" t="s">
        <v>390</v>
      </c>
      <c r="X5" s="4"/>
    </row>
    <row r="6" spans="1:24" ht="15.75" customHeight="1" x14ac:dyDescent="0.2">
      <c r="A6" s="42" t="s">
        <v>320</v>
      </c>
      <c r="B6" s="42" t="str">
        <f t="shared" si="0"/>
        <v>INSERT INTO TABELLE_PARAMETRI (DOMINIO,DESCRIZIONE) VALUES ('GAS','O₂');</v>
      </c>
      <c r="D6" s="45" t="str">
        <f t="shared" si="1"/>
        <v>insert into parametri (dominio,codice,descrizione) values ('GAS','G05','O₂');</v>
      </c>
      <c r="E6" s="46" t="s">
        <v>376</v>
      </c>
      <c r="F6" s="42" t="s">
        <v>320</v>
      </c>
      <c r="G6" s="11" t="s">
        <v>353</v>
      </c>
      <c r="H6" s="4" t="str">
        <f t="shared" si="2"/>
        <v>INSERT INTO PARA (DOMINIO,CODICE,ID_UTENTE_INS) VALUES ('GAS','G05',(SELECT ID_UTENTE FROM UTENTI WHERE USERNAME='armando.canto@airliquide.com'));</v>
      </c>
      <c r="I6" s="4" t="str">
        <f t="shared" si="3"/>
        <v>INSERT INTO PARAMETRI_LINGUE (ID_PARA,ID_LINGUE_ISO,DESCRIZIONE) VALUES ((SELECT ID_PARA FROM PARA WHERE DOMINIO='GAS' AND CODICE='G05'),0,'O₂');</v>
      </c>
      <c r="J6" s="45" t="str">
        <f t="shared" si="4"/>
        <v>insert into parametri (dominio,codice,descrizione) values ('STR','S05','EL / ZR');</v>
      </c>
      <c r="K6" s="46" t="s">
        <v>377</v>
      </c>
      <c r="L6" s="45" t="s">
        <v>366</v>
      </c>
      <c r="M6" s="11" t="s">
        <v>21</v>
      </c>
      <c r="N6" s="4"/>
      <c r="O6" s="46" t="str">
        <f t="shared" si="5"/>
        <v>insert into parametri (dominio,codice,descrizione) values ('FQA','F05','Tutte le bombole');</v>
      </c>
      <c r="P6" s="47" t="s">
        <v>378</v>
      </c>
      <c r="Q6" s="47" t="s">
        <v>383</v>
      </c>
      <c r="R6" s="11" t="s">
        <v>22</v>
      </c>
      <c r="S6" s="4"/>
      <c r="T6" s="46" t="str">
        <f t="shared" si="6"/>
        <v>insert into parametri (dominio,codice,descrizione) values ('IMP','I05','O₂');</v>
      </c>
      <c r="U6" s="47" t="s">
        <v>395</v>
      </c>
      <c r="V6" s="47" t="s">
        <v>400</v>
      </c>
      <c r="W6" s="48" t="s">
        <v>353</v>
      </c>
      <c r="X6" s="4"/>
    </row>
    <row r="7" spans="1:24" ht="15.75" customHeight="1" x14ac:dyDescent="0.2">
      <c r="A7" s="42" t="s">
        <v>321</v>
      </c>
      <c r="B7" s="42" t="str">
        <f t="shared" si="0"/>
        <v>INSERT INTO TABELLE_PARAMETRI (DOMINIO,DESCRIZIONE) VALUES ('GAS','Ar');</v>
      </c>
      <c r="D7" s="45" t="str">
        <f t="shared" si="1"/>
        <v>insert into parametri (dominio,codice,descrizione) values ('GAS','G06','Ar');</v>
      </c>
      <c r="E7" s="46" t="s">
        <v>376</v>
      </c>
      <c r="F7" s="42" t="s">
        <v>321</v>
      </c>
      <c r="G7" s="11" t="s">
        <v>24</v>
      </c>
      <c r="H7" s="4" t="str">
        <f t="shared" si="2"/>
        <v>INSERT INTO PARA (DOMINIO,CODICE,ID_UTENTE_INS) VALUES ('GAS','G06',(SELECT ID_UTENTE FROM UTENTI WHERE USERNAME='armando.canto@airliquide.com'));</v>
      </c>
      <c r="I7" s="4" t="str">
        <f t="shared" si="3"/>
        <v>INSERT INTO PARAMETRI_LINGUE (ID_PARA,ID_LINGUE_ISO,DESCRIZIONE) VALUES ((SELECT ID_PARA FROM PARA WHERE DOMINIO='GAS' AND CODICE='G06'),0,'Ar');</v>
      </c>
      <c r="J7" s="45" t="str">
        <f t="shared" si="4"/>
        <v>insert into parametri (dominio,codice,descrizione) values ('STR','S06','DID');</v>
      </c>
      <c r="K7" s="46" t="s">
        <v>377</v>
      </c>
      <c r="L7" s="45" t="s">
        <v>367</v>
      </c>
      <c r="M7" s="11" t="s">
        <v>25</v>
      </c>
      <c r="N7" s="4"/>
      <c r="O7" s="46" t="str">
        <f t="shared" si="5"/>
        <v>insert into parametri (dominio,codice,descrizione) values ('FQA','F06','Tutti i pacchi');</v>
      </c>
      <c r="P7" s="47" t="s">
        <v>378</v>
      </c>
      <c r="Q7" s="47" t="s">
        <v>384</v>
      </c>
      <c r="R7" s="11" t="s">
        <v>26</v>
      </c>
      <c r="S7" s="4"/>
      <c r="T7" s="46" t="str">
        <f t="shared" si="6"/>
        <v>insert into parametri (dominio,codice,descrizione) values ('IMP','I06','CO');</v>
      </c>
      <c r="U7" s="47" t="s">
        <v>395</v>
      </c>
      <c r="V7" s="47" t="s">
        <v>401</v>
      </c>
      <c r="W7" s="11" t="s">
        <v>27</v>
      </c>
      <c r="X7" s="4"/>
    </row>
    <row r="8" spans="1:24" ht="15.75" customHeight="1" x14ac:dyDescent="0.2">
      <c r="A8" s="42" t="s">
        <v>322</v>
      </c>
      <c r="B8" s="42" t="str">
        <f t="shared" si="0"/>
        <v>INSERT INTO TABELLE_PARAMETRI (DOMINIO,DESCRIZIONE) VALUES ('GAS','He');</v>
      </c>
      <c r="D8" s="45" t="str">
        <f t="shared" si="1"/>
        <v>insert into parametri (dominio,codice,descrizione) values ('GAS','G07','He');</v>
      </c>
      <c r="E8" s="46" t="s">
        <v>376</v>
      </c>
      <c r="F8" s="42" t="s">
        <v>322</v>
      </c>
      <c r="G8" s="11" t="s">
        <v>28</v>
      </c>
      <c r="H8" s="4" t="str">
        <f t="shared" si="2"/>
        <v>INSERT INTO PARA (DOMINIO,CODICE,ID_UTENTE_INS) VALUES ('GAS','G07',(SELECT ID_UTENTE FROM UTENTI WHERE USERNAME='armando.canto@airliquide.com'));</v>
      </c>
      <c r="I8" s="4" t="str">
        <f t="shared" si="3"/>
        <v>INSERT INTO PARAMETRI_LINGUE (ID_PARA,ID_LINGUE_ISO,DESCRIZIONE) VALUES ((SELECT ID_PARA FROM PARA WHERE DOMINIO='GAS' AND CODICE='G07'),0,'He');</v>
      </c>
      <c r="J8" s="45" t="str">
        <f t="shared" si="4"/>
        <v>insert into parametri (dominio,codice,descrizione) values ('STR','S07','AID');</v>
      </c>
      <c r="K8" s="46" t="s">
        <v>377</v>
      </c>
      <c r="L8" s="45" t="s">
        <v>368</v>
      </c>
      <c r="M8" s="11" t="s">
        <v>29</v>
      </c>
      <c r="N8" s="4"/>
      <c r="O8" s="46" t="str">
        <f t="shared" si="5"/>
        <v>insert into parametri (dominio,codice,descrizione) values ('FQA','F07','1 bombola /trimestre');</v>
      </c>
      <c r="P8" s="47" t="s">
        <v>378</v>
      </c>
      <c r="Q8" s="47" t="s">
        <v>385</v>
      </c>
      <c r="R8" s="11" t="s">
        <v>30</v>
      </c>
      <c r="S8" s="4"/>
      <c r="T8" s="46" t="str">
        <f t="shared" si="6"/>
        <v>insert into parametri (dominio,codice,descrizione) values ('IMP','I07','NO+NO₂');</v>
      </c>
      <c r="U8" s="47" t="s">
        <v>395</v>
      </c>
      <c r="V8" s="47" t="s">
        <v>402</v>
      </c>
      <c r="W8" s="48" t="s">
        <v>391</v>
      </c>
      <c r="X8" s="4"/>
    </row>
    <row r="9" spans="1:24" ht="15.75" customHeight="1" x14ac:dyDescent="0.2">
      <c r="A9" s="42" t="s">
        <v>323</v>
      </c>
      <c r="B9" s="42" t="str">
        <f t="shared" si="0"/>
        <v>INSERT INTO TABELLE_PARAMETRI (DOMINIO,DESCRIZIONE) VALUES ('GAS','H₂');</v>
      </c>
      <c r="D9" s="45" t="str">
        <f t="shared" si="1"/>
        <v>insert into parametri (dominio,codice,descrizione) values ('GAS','G08','H₂');</v>
      </c>
      <c r="E9" s="46" t="s">
        <v>376</v>
      </c>
      <c r="F9" s="42" t="s">
        <v>323</v>
      </c>
      <c r="G9" s="11" t="s">
        <v>360</v>
      </c>
      <c r="H9" s="4" t="str">
        <f t="shared" si="2"/>
        <v>INSERT INTO PARA (DOMINIO,CODICE,ID_UTENTE_INS) VALUES ('GAS','G08',(SELECT ID_UTENTE FROM UTENTI WHERE USERNAME='armando.canto@airliquide.com'));</v>
      </c>
      <c r="I9" s="4" t="str">
        <f t="shared" si="3"/>
        <v>INSERT INTO PARAMETRI_LINGUE (ID_PARA,ID_LINGUE_ISO,DESCRIZIONE) VALUES ((SELECT ID_PARA FROM PARA WHERE DOMINIO='GAS' AND CODICE='G08'),0,'H₂');</v>
      </c>
      <c r="J9" s="45" t="str">
        <f t="shared" si="4"/>
        <v>insert into parametri (dominio,codice,descrizione) values ('STR','S08','EC');</v>
      </c>
      <c r="K9" s="46" t="s">
        <v>377</v>
      </c>
      <c r="L9" s="45" t="s">
        <v>369</v>
      </c>
      <c r="M9" s="11" t="s">
        <v>33</v>
      </c>
      <c r="N9" s="4"/>
      <c r="O9" s="46" t="str">
        <f t="shared" si="5"/>
        <v>insert into parametri (dominio,codice,descrizione) values ('FQA','F08','1 bombola / mese');</v>
      </c>
      <c r="P9" s="47" t="s">
        <v>378</v>
      </c>
      <c r="Q9" s="47" t="s">
        <v>386</v>
      </c>
      <c r="R9" s="11" t="s">
        <v>34</v>
      </c>
      <c r="S9" s="4"/>
      <c r="T9" s="46" t="str">
        <f t="shared" si="6"/>
        <v>insert into parametri (dominio,codice,descrizione) values ('IMP','I08','CnHm');</v>
      </c>
      <c r="U9" s="47" t="s">
        <v>395</v>
      </c>
      <c r="V9" s="47" t="s">
        <v>403</v>
      </c>
      <c r="W9" s="48" t="s">
        <v>35</v>
      </c>
      <c r="X9" s="4"/>
    </row>
    <row r="10" spans="1:24" ht="15.75" customHeight="1" x14ac:dyDescent="0.2">
      <c r="A10" s="42" t="s">
        <v>324</v>
      </c>
      <c r="B10" s="42" t="str">
        <f t="shared" si="0"/>
        <v>INSERT INTO TABELLE_PARAMETRI (DOMINIO,DESCRIZIONE) VALUES ('GAS','CH₄');</v>
      </c>
      <c r="D10" s="45" t="str">
        <f t="shared" si="1"/>
        <v>insert into parametri (dominio,codice,descrizione) values ('GAS','G09','CH₄');</v>
      </c>
      <c r="E10" s="46" t="s">
        <v>376</v>
      </c>
      <c r="F10" s="42" t="s">
        <v>324</v>
      </c>
      <c r="G10" s="48" t="s">
        <v>356</v>
      </c>
      <c r="H10" s="4" t="str">
        <f t="shared" si="2"/>
        <v>INSERT INTO PARA (DOMINIO,CODICE,ID_UTENTE_INS) VALUES ('GAS','G09',(SELECT ID_UTENTE FROM UTENTI WHERE USERNAME='armando.canto@airliquide.com'));</v>
      </c>
      <c r="I10" s="4" t="str">
        <f t="shared" si="3"/>
        <v>INSERT INTO PARAMETRI_LINGUE (ID_PARA,ID_LINGUE_ISO,DESCRIZIONE) VALUES ((SELECT ID_PARA FROM PARA WHERE DOMINIO='GAS' AND CODICE='G09'),0,'CH₄');</v>
      </c>
      <c r="J10" s="45" t="str">
        <f t="shared" si="4"/>
        <v>insert into parametri (dominio,codice,descrizione) values ('STR','S09','IG');</v>
      </c>
      <c r="K10" s="46" t="s">
        <v>377</v>
      </c>
      <c r="L10" s="45" t="s">
        <v>370</v>
      </c>
      <c r="M10" s="11" t="s">
        <v>37</v>
      </c>
      <c r="N10" s="4"/>
      <c r="O10" s="46" t="str">
        <f t="shared" si="5"/>
        <v>insert into parametri (dominio,codice,descrizione) values ('FQA','F09','1 contenitore / lotto');</v>
      </c>
      <c r="P10" s="47" t="s">
        <v>378</v>
      </c>
      <c r="Q10" s="47" t="s">
        <v>387</v>
      </c>
      <c r="R10" s="12" t="s">
        <v>38</v>
      </c>
      <c r="S10" s="7"/>
      <c r="T10" s="46" t="str">
        <f t="shared" si="6"/>
        <v>insert into parametri (dominio,codice,descrizione) values ('IMP','I09','S Totale');</v>
      </c>
      <c r="U10" s="47" t="s">
        <v>395</v>
      </c>
      <c r="V10" s="47" t="s">
        <v>404</v>
      </c>
      <c r="W10" s="11" t="s">
        <v>39</v>
      </c>
      <c r="X10" s="4"/>
    </row>
    <row r="11" spans="1:24" ht="15.75" customHeight="1" x14ac:dyDescent="0.2">
      <c r="A11" s="42" t="s">
        <v>325</v>
      </c>
      <c r="B11" s="42" t="str">
        <f t="shared" si="0"/>
        <v>INSERT INTO TABELLE_PARAMETRI (DOMINIO,DESCRIZIONE) VALUES ('GAS','C₃H₈');</v>
      </c>
      <c r="D11" s="45" t="str">
        <f t="shared" si="1"/>
        <v>insert into parametri (dominio,codice,descrizione) values ('GAS','G10','C₃H₈');</v>
      </c>
      <c r="E11" s="46" t="s">
        <v>376</v>
      </c>
      <c r="F11" s="42" t="s">
        <v>325</v>
      </c>
      <c r="G11" s="11" t="s">
        <v>357</v>
      </c>
      <c r="H11" s="4" t="str">
        <f t="shared" si="2"/>
        <v>INSERT INTO PARA (DOMINIO,CODICE,ID_UTENTE_INS) VALUES ('GAS','G10',(SELECT ID_UTENTE FROM UTENTI WHERE USERNAME='armando.canto@airliquide.com'));</v>
      </c>
      <c r="I11" s="4" t="str">
        <f t="shared" si="3"/>
        <v>INSERT INTO PARAMETRI_LINGUE (ID_PARA,ID_LINGUE_ISO,DESCRIZIONE) VALUES ((SELECT ID_PARA FROM PARA WHERE DOMINIO='GAS' AND CODICE='G10'),0,'C₃H₈');</v>
      </c>
      <c r="J11" s="45" t="str">
        <f t="shared" si="4"/>
        <v>insert into parametri (dominio,codice,descrizione) values ('STR','S10','TCD');</v>
      </c>
      <c r="K11" s="46" t="s">
        <v>377</v>
      </c>
      <c r="L11" s="45" t="s">
        <v>371</v>
      </c>
      <c r="M11" s="11" t="s">
        <v>41</v>
      </c>
      <c r="N11" s="4"/>
      <c r="T11" s="46" t="str">
        <f t="shared" si="6"/>
        <v>insert into parametri (dominio,codice,descrizione) values ('IMP','I10','Oli');</v>
      </c>
      <c r="U11" s="47" t="s">
        <v>395</v>
      </c>
      <c r="V11" s="47" t="s">
        <v>405</v>
      </c>
      <c r="W11" s="48" t="s">
        <v>42</v>
      </c>
      <c r="X11" s="4"/>
    </row>
    <row r="12" spans="1:24" ht="15.75" customHeight="1" x14ac:dyDescent="0.2">
      <c r="A12" s="42" t="s">
        <v>326</v>
      </c>
      <c r="B12" s="42" t="str">
        <f t="shared" si="0"/>
        <v>INSERT INTO TABELLE_PARAMETRI (DOMINIO,DESCRIZIONE) VALUES ('GAS','C₃H₆');</v>
      </c>
      <c r="D12" s="45" t="str">
        <f t="shared" si="1"/>
        <v>insert into parametri (dominio,codice,descrizione) values ('GAS','G11','C₃H₆');</v>
      </c>
      <c r="E12" s="46" t="s">
        <v>376</v>
      </c>
      <c r="F12" s="42" t="s">
        <v>326</v>
      </c>
      <c r="G12" s="48" t="s">
        <v>358</v>
      </c>
      <c r="H12" s="4" t="str">
        <f t="shared" si="2"/>
        <v>INSERT INTO PARA (DOMINIO,CODICE,ID_UTENTE_INS) VALUES ('GAS','G11',(SELECT ID_UTENTE FROM UTENTI WHERE USERNAME='armando.canto@airliquide.com'));</v>
      </c>
      <c r="I12" s="4" t="str">
        <f t="shared" si="3"/>
        <v>INSERT INTO PARAMETRI_LINGUE (ID_PARA,ID_LINGUE_ISO,DESCRIZIONE) VALUES ((SELECT ID_PARA FROM PARA WHERE DOMINIO='GAS' AND CODICE='G11'),0,'C₃H₆');</v>
      </c>
      <c r="J12" s="45" t="str">
        <f t="shared" si="4"/>
        <v>insert into parametri (dominio,codice,descrizione) values ('STR','S11','PM / ZR');</v>
      </c>
      <c r="K12" s="46" t="s">
        <v>377</v>
      </c>
      <c r="L12" s="45" t="s">
        <v>372</v>
      </c>
      <c r="M12" s="11" t="s">
        <v>44</v>
      </c>
      <c r="N12" s="4"/>
      <c r="T12" s="46" t="str">
        <f t="shared" si="6"/>
        <v>insert into parametri (dominio,codice,descrizione) values ('IMP','I11','NVOC');</v>
      </c>
      <c r="U12" s="47" t="s">
        <v>395</v>
      </c>
      <c r="V12" s="47" t="s">
        <v>406</v>
      </c>
      <c r="W12" s="11" t="s">
        <v>45</v>
      </c>
      <c r="X12" s="4"/>
    </row>
    <row r="13" spans="1:24" ht="15.75" customHeight="1" x14ac:dyDescent="0.2">
      <c r="A13" s="42" t="s">
        <v>327</v>
      </c>
      <c r="B13" s="42" t="str">
        <f t="shared" si="0"/>
        <v>INSERT INTO TABELLE_PARAMETRI (DOMINIO,DESCRIZIONE) VALUES ('GAS','P.C.I.');</v>
      </c>
      <c r="D13" s="45" t="str">
        <f t="shared" si="1"/>
        <v>insert into parametri (dominio,codice,descrizione) values ('GAS','G12','P.C.I.');</v>
      </c>
      <c r="E13" s="46" t="s">
        <v>376</v>
      </c>
      <c r="F13" s="42" t="s">
        <v>327</v>
      </c>
      <c r="G13" s="11" t="s">
        <v>46</v>
      </c>
      <c r="H13" s="4" t="str">
        <f t="shared" si="2"/>
        <v>INSERT INTO PARA (DOMINIO,CODICE,ID_UTENTE_INS) VALUES ('GAS','G12',(SELECT ID_UTENTE FROM UTENTI WHERE USERNAME='armando.canto@airliquide.com'));</v>
      </c>
      <c r="I13" s="4" t="str">
        <f t="shared" si="3"/>
        <v>INSERT INTO PARAMETRI_LINGUE (ID_PARA,ID_LINGUE_ISO,DESCRIZIONE) VALUES ((SELECT ID_PARA FROM PARA WHERE DOMINIO='GAS' AND CODICE='G12'),0,'P.C.I.');</v>
      </c>
      <c r="J13" s="45" t="str">
        <f t="shared" si="4"/>
        <v>insert into parametri (dominio,codice,descrizione) values ('STR','S12','GC - TCD');</v>
      </c>
      <c r="K13" s="46" t="s">
        <v>377</v>
      </c>
      <c r="L13" s="45" t="s">
        <v>373</v>
      </c>
      <c r="M13" s="11" t="s">
        <v>47</v>
      </c>
      <c r="N13" s="4"/>
      <c r="T13" s="46" t="str">
        <f t="shared" si="6"/>
        <v>insert into parametri (dominio,codice,descrizione) values ('IMP','I12','H₂');</v>
      </c>
      <c r="U13" s="47" t="s">
        <v>395</v>
      </c>
      <c r="V13" s="47" t="s">
        <v>407</v>
      </c>
      <c r="W13" s="48" t="s">
        <v>360</v>
      </c>
      <c r="X13" s="4"/>
    </row>
    <row r="14" spans="1:24" ht="15.75" customHeight="1" x14ac:dyDescent="0.2">
      <c r="A14" s="42" t="s">
        <v>328</v>
      </c>
      <c r="B14" s="42" t="str">
        <f t="shared" si="0"/>
        <v>INSERT INTO TABELLE_PARAMETRI (DOMINIO,DESCRIZIONE) VALUES ('GAS','P.C.S.');</v>
      </c>
      <c r="D14" s="45" t="str">
        <f t="shared" si="1"/>
        <v>insert into parametri (dominio,codice,descrizione) values ('GAS','G13','P.C.S.');</v>
      </c>
      <c r="E14" s="46" t="s">
        <v>376</v>
      </c>
      <c r="F14" s="42" t="s">
        <v>328</v>
      </c>
      <c r="G14" s="8" t="s">
        <v>49</v>
      </c>
      <c r="H14" s="4" t="str">
        <f t="shared" si="2"/>
        <v>INSERT INTO PARA (DOMINIO,CODICE,ID_UTENTE_INS) VALUES ('GAS','G13',(SELECT ID_UTENTE FROM UTENTI WHERE USERNAME='armando.canto@airliquide.com'));</v>
      </c>
      <c r="I14" s="4" t="str">
        <f t="shared" si="3"/>
        <v>INSERT INTO PARAMETRI_LINGUE (ID_PARA,ID_LINGUE_ISO,DESCRIZIONE) VALUES ((SELECT ID_PARA FROM PARA WHERE DOMINIO='GAS' AND CODICE='G13'),0,'P.C.S.');</v>
      </c>
      <c r="J14" s="45" t="str">
        <f t="shared" si="4"/>
        <v>insert into parametri (dominio,codice,descrizione) values ('STR','S13','GC');</v>
      </c>
      <c r="K14" s="46" t="s">
        <v>377</v>
      </c>
      <c r="L14" s="45" t="s">
        <v>374</v>
      </c>
      <c r="M14" s="11" t="s">
        <v>50</v>
      </c>
      <c r="N14" s="4"/>
      <c r="T14" s="46" t="str">
        <f t="shared" si="6"/>
        <v>insert into parametri (dominio,codice,descrizione) values ('IMP','I13','CO₂');</v>
      </c>
      <c r="U14" s="47" t="s">
        <v>395</v>
      </c>
      <c r="V14" s="47" t="s">
        <v>408</v>
      </c>
      <c r="W14" s="48" t="s">
        <v>352</v>
      </c>
      <c r="X14" s="4"/>
    </row>
    <row r="15" spans="1:24" ht="15.75" customHeight="1" x14ac:dyDescent="0.2">
      <c r="A15" s="42" t="s">
        <v>329</v>
      </c>
      <c r="B15" s="42" t="str">
        <f t="shared" si="0"/>
        <v>INSERT INTO TABELLE_PARAMETRI (DOMINIO,DESCRIZIONE) VALUES ('GAS','I.W.I.');</v>
      </c>
      <c r="D15" s="45" t="str">
        <f t="shared" si="1"/>
        <v>insert into parametri (dominio,codice,descrizione) values ('GAS','G14','I.W.I.');</v>
      </c>
      <c r="E15" s="46" t="s">
        <v>376</v>
      </c>
      <c r="F15" s="42" t="s">
        <v>329</v>
      </c>
      <c r="G15" s="11" t="s">
        <v>52</v>
      </c>
      <c r="H15" s="4" t="str">
        <f t="shared" si="2"/>
        <v>INSERT INTO PARA (DOMINIO,CODICE,ID_UTENTE_INS) VALUES ('GAS','G14',(SELECT ID_UTENTE FROM UTENTI WHERE USERNAME='armando.canto@airliquide.com'));</v>
      </c>
      <c r="I15" s="4" t="str">
        <f t="shared" si="3"/>
        <v>INSERT INTO PARAMETRI_LINGUE (ID_PARA,ID_LINGUE_ISO,DESCRIZIONE) VALUES ((SELECT ID_PARA FROM PARA WHERE DOMINIO='GAS' AND CODICE='G14'),0,'I.W.I.');</v>
      </c>
      <c r="J15" s="45" t="str">
        <f t="shared" si="4"/>
        <v>insert into parametri (dominio,codice,descrizione) values ('STR','S14','THC');</v>
      </c>
      <c r="K15" s="46" t="s">
        <v>377</v>
      </c>
      <c r="L15" s="45" t="s">
        <v>375</v>
      </c>
      <c r="M15" s="12" t="s">
        <v>53</v>
      </c>
      <c r="N15" s="7"/>
      <c r="T15" s="46" t="str">
        <f t="shared" si="6"/>
        <v>insert into parametri (dominio,codice,descrizione) values ('IMP','I14','NO / NOx');</v>
      </c>
      <c r="U15" s="47" t="s">
        <v>395</v>
      </c>
      <c r="V15" s="47" t="s">
        <v>409</v>
      </c>
      <c r="W15" s="11" t="s">
        <v>54</v>
      </c>
      <c r="X15" s="4"/>
    </row>
    <row r="16" spans="1:24" ht="15.75" customHeight="1" x14ac:dyDescent="0.2">
      <c r="A16" s="42" t="s">
        <v>330</v>
      </c>
      <c r="B16" s="42" t="str">
        <f t="shared" si="0"/>
        <v>INSERT INTO TABELLE_PARAMETRI (DOMINIO,DESCRIZIONE) VALUES ('GAS','I.W.S.');</v>
      </c>
      <c r="D16" s="45" t="str">
        <f t="shared" si="1"/>
        <v>insert into parametri (dominio,codice,descrizione) values ('GAS','G15','I.W.S.');</v>
      </c>
      <c r="E16" s="46" t="s">
        <v>376</v>
      </c>
      <c r="F16" s="42" t="s">
        <v>330</v>
      </c>
      <c r="G16" s="11" t="s">
        <v>55</v>
      </c>
      <c r="H16" s="4" t="str">
        <f t="shared" si="2"/>
        <v>INSERT INTO PARA (DOMINIO,CODICE,ID_UTENTE_INS) VALUES ('GAS','G15',(SELECT ID_UTENTE FROM UTENTI WHERE USERNAME='armando.canto@airliquide.com'));</v>
      </c>
      <c r="I16" s="4" t="str">
        <f t="shared" si="3"/>
        <v>INSERT INTO PARAMETRI_LINGUE (ID_PARA,ID_LINGUE_ISO,DESCRIZIONE) VALUES ((SELECT ID_PARA FROM PARA WHERE DOMINIO='GAS' AND CODICE='G15'),0,'I.W.S.');</v>
      </c>
      <c r="T16" s="46" t="str">
        <f t="shared" si="6"/>
        <v>insert into parametri (dominio,codice,descrizione) values ('IMP','I15','Nox');</v>
      </c>
      <c r="U16" s="47" t="s">
        <v>395</v>
      </c>
      <c r="V16" s="47" t="s">
        <v>410</v>
      </c>
      <c r="W16" s="48" t="s">
        <v>393</v>
      </c>
      <c r="X16" s="4"/>
    </row>
    <row r="17" spans="1:24" ht="15.75" customHeight="1" x14ac:dyDescent="0.2">
      <c r="A17" s="42" t="s">
        <v>331</v>
      </c>
      <c r="B17" s="42" t="str">
        <f t="shared" si="0"/>
        <v>INSERT INTO TABELLE_PARAMETRI (DOMINIO,DESCRIZIONE) VALUES ('GAS','Densità relativa');</v>
      </c>
      <c r="D17" s="45" t="str">
        <f t="shared" si="1"/>
        <v>insert into parametri (dominio,codice,descrizione) values ('GAS','G16','Densità relativa');</v>
      </c>
      <c r="E17" s="46" t="s">
        <v>376</v>
      </c>
      <c r="F17" s="42" t="s">
        <v>331</v>
      </c>
      <c r="G17" s="11" t="s">
        <v>57</v>
      </c>
      <c r="H17" s="4" t="str">
        <f t="shared" si="2"/>
        <v>INSERT INTO PARA (DOMINIO,CODICE,ID_UTENTE_INS) VALUES ('GAS','G16',(SELECT ID_UTENTE FROM UTENTI WHERE USERNAME='armando.canto@airliquide.com'));</v>
      </c>
      <c r="I17" s="4" t="str">
        <f t="shared" si="3"/>
        <v>INSERT INTO PARAMETRI_LINGUE (ID_PARA,ID_LINGUE_ISO,DESCRIZIONE) VALUES ((SELECT ID_PARA FROM PARA WHERE DOMINIO='GAS' AND CODICE='G16'),0,'Densità relativa');</v>
      </c>
      <c r="T17" s="46" t="str">
        <f t="shared" si="6"/>
        <v>insert into parametri (dominio,codice,descrizione) values ('IMP','I16','SO₂');</v>
      </c>
      <c r="U17" s="47" t="s">
        <v>395</v>
      </c>
      <c r="V17" s="47" t="s">
        <v>411</v>
      </c>
      <c r="W17" s="48" t="s">
        <v>392</v>
      </c>
      <c r="X17" s="4"/>
    </row>
    <row r="18" spans="1:24" ht="15.75" customHeight="1" x14ac:dyDescent="0.2">
      <c r="A18" s="42" t="s">
        <v>332</v>
      </c>
      <c r="B18" s="42" t="str">
        <f t="shared" si="0"/>
        <v>INSERT INTO TABELLE_PARAMETRI (DOMINIO,DESCRIZIONE) VALUES ('GAS','CH₄H₁₀ - n');</v>
      </c>
      <c r="D18" s="45" t="str">
        <f t="shared" si="1"/>
        <v>insert into parametri (dominio,codice,descrizione) values ('GAS','G17','CH₄H₁₀ - n');</v>
      </c>
      <c r="E18" s="46" t="s">
        <v>376</v>
      </c>
      <c r="F18" s="42" t="s">
        <v>332</v>
      </c>
      <c r="G18" s="11" t="s">
        <v>361</v>
      </c>
      <c r="H18" s="4" t="str">
        <f t="shared" si="2"/>
        <v>INSERT INTO PARA (DOMINIO,CODICE,ID_UTENTE_INS) VALUES ('GAS','G17',(SELECT ID_UTENTE FROM UTENTI WHERE USERNAME='armando.canto@airliquide.com'));</v>
      </c>
      <c r="I18" s="4" t="str">
        <f t="shared" si="3"/>
        <v>INSERT INTO PARAMETRI_LINGUE (ID_PARA,ID_LINGUE_ISO,DESCRIZIONE) VALUES ((SELECT ID_PARA FROM PARA WHERE DOMINIO='GAS' AND CODICE='G17'),0,'CH₄H₁₀ - n');</v>
      </c>
      <c r="M18" s="1" t="s">
        <v>60</v>
      </c>
      <c r="N18" s="2"/>
      <c r="R18" s="1" t="s">
        <v>61</v>
      </c>
      <c r="S18" s="2"/>
      <c r="T18" s="46" t="str">
        <f t="shared" si="6"/>
        <v>insert into parametri (dominio,codice,descrizione) values ('IMP','I17','Gas rari');</v>
      </c>
      <c r="U18" s="47" t="s">
        <v>395</v>
      </c>
      <c r="V18" s="47" t="s">
        <v>412</v>
      </c>
      <c r="W18" s="48" t="s">
        <v>62</v>
      </c>
      <c r="X18" s="4"/>
    </row>
    <row r="19" spans="1:24" ht="15.75" customHeight="1" x14ac:dyDescent="0.2">
      <c r="A19" s="42" t="s">
        <v>333</v>
      </c>
      <c r="B19" s="42" t="str">
        <f t="shared" si="0"/>
        <v>INSERT INTO TABELLE_PARAMETRI (DOMINIO,DESCRIZIONE) VALUES ('GAS','Xe');</v>
      </c>
      <c r="D19" s="45" t="str">
        <f t="shared" si="1"/>
        <v>insert into parametri (dominio,codice,descrizione) values ('GAS','G18','Xe');</v>
      </c>
      <c r="E19" s="46" t="s">
        <v>376</v>
      </c>
      <c r="F19" s="42" t="s">
        <v>333</v>
      </c>
      <c r="G19" s="11" t="s">
        <v>63</v>
      </c>
      <c r="H19" s="4" t="str">
        <f t="shared" si="2"/>
        <v>INSERT INTO PARA (DOMINIO,CODICE,ID_UTENTE_INS) VALUES ('GAS','G18',(SELECT ID_UTENTE FROM UTENTI WHERE USERNAME='armando.canto@airliquide.com'));</v>
      </c>
      <c r="I19" s="4" t="str">
        <f t="shared" si="3"/>
        <v>INSERT INTO PARAMETRI_LINGUE (ID_PARA,ID_LINGUE_ISO,DESCRIZIONE) VALUES ((SELECT ID_PARA FROM PARA WHERE DOMINIO='GAS' AND CODICE='G18'),0,'Xe');</v>
      </c>
      <c r="J19" s="51" t="str">
        <f t="shared" ref="J19:J20" si="7">CONCATENATE("insert into parametri (dominio,codice,descrizione) values ('",K19,"','",L19,"','",M19,"');")</f>
        <v>insert into parametri (dominio,codice,descrizione) values ('ADR','BOM','Etichetta per Bombole');</v>
      </c>
      <c r="K19" s="45" t="s">
        <v>476</v>
      </c>
      <c r="L19" s="45" t="s">
        <v>477</v>
      </c>
      <c r="M19" s="11" t="s">
        <v>64</v>
      </c>
      <c r="N19" s="4"/>
      <c r="R19" s="9" t="s">
        <v>65</v>
      </c>
      <c r="S19" s="4"/>
      <c r="T19" s="46" t="str">
        <f t="shared" si="6"/>
        <v>insert into parametri (dominio,codice,descrizione) values ('IMP','I18','H₂S');</v>
      </c>
      <c r="U19" s="47" t="s">
        <v>395</v>
      </c>
      <c r="V19" s="47" t="s">
        <v>413</v>
      </c>
      <c r="W19" s="48" t="s">
        <v>394</v>
      </c>
      <c r="X19" s="4"/>
    </row>
    <row r="20" spans="1:24" ht="15.75" customHeight="1" x14ac:dyDescent="0.2">
      <c r="A20" s="42" t="s">
        <v>334</v>
      </c>
      <c r="B20" s="42" t="str">
        <f t="shared" si="0"/>
        <v>INSERT INTO TABELLE_PARAMETRI (DOMINIO,DESCRIZIONE) VALUES ('GAS','N.A.');</v>
      </c>
      <c r="D20" s="45" t="str">
        <f t="shared" si="1"/>
        <v>insert into parametri (dominio,codice,descrizione) values ('GAS','G19','N.A.');</v>
      </c>
      <c r="E20" s="46" t="s">
        <v>376</v>
      </c>
      <c r="F20" s="42" t="s">
        <v>334</v>
      </c>
      <c r="G20" s="11" t="s">
        <v>67</v>
      </c>
      <c r="H20" s="4" t="str">
        <f t="shared" si="2"/>
        <v>INSERT INTO PARA (DOMINIO,CODICE,ID_UTENTE_INS) VALUES ('GAS','G19',(SELECT ID_UTENTE FROM UTENTI WHERE USERNAME='armando.canto@airliquide.com'));</v>
      </c>
      <c r="I20" s="4" t="str">
        <f t="shared" si="3"/>
        <v>INSERT INTO PARAMETRI_LINGUE (ID_PARA,ID_LINGUE_ISO,DESCRIZIONE) VALUES ((SELECT ID_PARA FROM PARA WHERE DOMINIO='GAS' AND CODICE='G19'),0,'N.A.');</v>
      </c>
      <c r="J20" s="51" t="str">
        <f t="shared" si="7"/>
        <v>insert into parametri (dominio,codice,descrizione) values ('ADR','PAC','Etichetta per pacchi');</v>
      </c>
      <c r="K20" s="45" t="s">
        <v>476</v>
      </c>
      <c r="L20" s="45" t="s">
        <v>478</v>
      </c>
      <c r="M20" s="12" t="s">
        <v>68</v>
      </c>
      <c r="N20" s="7"/>
      <c r="R20" s="9" t="s">
        <v>69</v>
      </c>
      <c r="S20" s="4"/>
      <c r="T20" s="46" t="str">
        <f t="shared" si="6"/>
        <v>insert into parametri (dominio,codice,descrizione) values ('IMP','I19','CH₄');</v>
      </c>
      <c r="U20" s="47" t="s">
        <v>395</v>
      </c>
      <c r="V20" s="47" t="s">
        <v>414</v>
      </c>
      <c r="W20" s="48" t="s">
        <v>356</v>
      </c>
      <c r="X20" s="4"/>
    </row>
    <row r="21" spans="1:24" ht="15.75" customHeight="1" x14ac:dyDescent="0.2">
      <c r="A21" s="42" t="s">
        <v>335</v>
      </c>
      <c r="B21" s="42" t="str">
        <f t="shared" si="0"/>
        <v>INSERT INTO TABELLE_PARAMETRI (DOMINIO,DESCRIZIONE) VALUES ('GAS','N₂O');</v>
      </c>
      <c r="D21" s="45" t="str">
        <f t="shared" si="1"/>
        <v>insert into parametri (dominio,codice,descrizione) values ('GAS','G20','N₂O');</v>
      </c>
      <c r="E21" s="46" t="s">
        <v>376</v>
      </c>
      <c r="F21" s="42" t="s">
        <v>335</v>
      </c>
      <c r="G21" s="11" t="s">
        <v>359</v>
      </c>
      <c r="H21" s="4" t="str">
        <f t="shared" si="2"/>
        <v>INSERT INTO PARA (DOMINIO,CODICE,ID_UTENTE_INS) VALUES ('GAS','G20',(SELECT ID_UTENTE FROM UTENTI WHERE USERNAME='armando.canto@airliquide.com'));</v>
      </c>
      <c r="I21" s="4" t="str">
        <f t="shared" si="3"/>
        <v>INSERT INTO PARAMETRI_LINGUE (ID_PARA,ID_LINGUE_ISO,DESCRIZIONE) VALUES ((SELECT ID_PARA FROM PARA WHERE DOMINIO='GAS' AND CODICE='G20'),0,'N₂O');</v>
      </c>
      <c r="R21" s="9" t="s">
        <v>72</v>
      </c>
      <c r="S21" s="4"/>
      <c r="T21" s="46" t="str">
        <f t="shared" si="6"/>
        <v>insert into parametri (dominio,codice,descrizione) values ('IMP','I20','Kr');</v>
      </c>
      <c r="U21" s="47" t="s">
        <v>395</v>
      </c>
      <c r="V21" s="47" t="s">
        <v>415</v>
      </c>
      <c r="W21" s="11" t="s">
        <v>73</v>
      </c>
      <c r="X21" s="4"/>
    </row>
    <row r="22" spans="1:24" ht="15.75" customHeight="1" x14ac:dyDescent="0.2">
      <c r="A22" s="42" t="s">
        <v>336</v>
      </c>
      <c r="B22" s="42" t="str">
        <f t="shared" si="0"/>
        <v>INSERT INTO TABELLE_PARAMETRI (DOMINIO,DESCRIZIONE) VALUES ('GAS','R134a');</v>
      </c>
      <c r="D22" s="45" t="str">
        <f t="shared" si="1"/>
        <v>insert into parametri (dominio,codice,descrizione) values ('GAS','G21','R134a');</v>
      </c>
      <c r="E22" s="46" t="s">
        <v>376</v>
      </c>
      <c r="F22" s="42" t="s">
        <v>336</v>
      </c>
      <c r="G22" s="11" t="s">
        <v>74</v>
      </c>
      <c r="H22" s="4" t="str">
        <f t="shared" si="2"/>
        <v>INSERT INTO PARA (DOMINIO,CODICE,ID_UTENTE_INS) VALUES ('GAS','G21',(SELECT ID_UTENTE FROM UTENTI WHERE USERNAME='armando.canto@airliquide.com'));</v>
      </c>
      <c r="I22" s="4" t="str">
        <f t="shared" si="3"/>
        <v>INSERT INTO PARAMETRI_LINGUE (ID_PARA,ID_LINGUE_ISO,DESCRIZIONE) VALUES ((SELECT ID_PARA FROM PARA WHERE DOMINIO='GAS' AND CODICE='G21'),0,'R134a');</v>
      </c>
      <c r="R22" s="9" t="s">
        <v>75</v>
      </c>
      <c r="S22" s="4"/>
      <c r="T22" s="46" t="str">
        <f t="shared" si="6"/>
        <v>insert into parametri (dominio,codice,descrizione) values ('IMP','I21','Ne');</v>
      </c>
      <c r="U22" s="47" t="s">
        <v>395</v>
      </c>
      <c r="V22" s="47" t="s">
        <v>416</v>
      </c>
      <c r="W22" s="11" t="s">
        <v>76</v>
      </c>
      <c r="X22" s="4"/>
    </row>
    <row r="23" spans="1:24" ht="15.75" customHeight="1" x14ac:dyDescent="0.2">
      <c r="A23" s="42" t="s">
        <v>337</v>
      </c>
      <c r="B23" s="42" t="str">
        <f t="shared" si="0"/>
        <v>INSERT INTO TABELLE_PARAMETRI (DOMINIO,DESCRIZIONE) VALUES ('GAS','R143a');</v>
      </c>
      <c r="D23" s="45" t="str">
        <f t="shared" si="1"/>
        <v>insert into parametri (dominio,codice,descrizione) values ('GAS','G22','R143a');</v>
      </c>
      <c r="E23" s="46" t="s">
        <v>376</v>
      </c>
      <c r="F23" s="42" t="s">
        <v>337</v>
      </c>
      <c r="G23" s="11" t="s">
        <v>77</v>
      </c>
      <c r="H23" s="4" t="str">
        <f t="shared" si="2"/>
        <v>INSERT INTO PARA (DOMINIO,CODICE,ID_UTENTE_INS) VALUES ('GAS','G22',(SELECT ID_UTENTE FROM UTENTI WHERE USERNAME='armando.canto@airliquide.com'));</v>
      </c>
      <c r="I23" s="4" t="str">
        <f t="shared" si="3"/>
        <v>INSERT INTO PARAMETRI_LINGUE (ID_PARA,ID_LINGUE_ISO,DESCRIZIONE) VALUES ((SELECT ID_PARA FROM PARA WHERE DOMINIO='GAS' AND CODICE='G22'),0,'R143a');</v>
      </c>
      <c r="M23" s="1" t="s">
        <v>78</v>
      </c>
      <c r="N23" s="2"/>
      <c r="R23" s="11" t="s">
        <v>79</v>
      </c>
      <c r="S23" s="4"/>
      <c r="T23" s="46" t="str">
        <f t="shared" si="6"/>
        <v>insert into parametri (dominio,codice,descrizione) values ('IMP','I22','Incondensabili in fase vapore');</v>
      </c>
      <c r="U23" s="47" t="s">
        <v>395</v>
      </c>
      <c r="V23" s="47" t="s">
        <v>417</v>
      </c>
      <c r="W23" s="11" t="s">
        <v>80</v>
      </c>
      <c r="X23" s="4"/>
    </row>
    <row r="24" spans="1:24" ht="15.75" customHeight="1" x14ac:dyDescent="0.2">
      <c r="A24" s="42" t="s">
        <v>338</v>
      </c>
      <c r="B24" s="42" t="str">
        <f t="shared" si="0"/>
        <v>INSERT INTO TABELLE_PARAMETRI (DOMINIO,DESCRIZIONE) VALUES ('GAS','R125');</v>
      </c>
      <c r="D24" s="45" t="str">
        <f t="shared" si="1"/>
        <v>insert into parametri (dominio,codice,descrizione) values ('GAS','G23','R125');</v>
      </c>
      <c r="E24" s="46" t="s">
        <v>376</v>
      </c>
      <c r="F24" s="42" t="s">
        <v>338</v>
      </c>
      <c r="G24" s="11" t="s">
        <v>81</v>
      </c>
      <c r="H24" s="4" t="str">
        <f t="shared" si="2"/>
        <v>INSERT INTO PARA (DOMINIO,CODICE,ID_UTENTE_INS) VALUES ('GAS','G23',(SELECT ID_UTENTE FROM UTENTI WHERE USERNAME='armando.canto@airliquide.com'));</v>
      </c>
      <c r="I24" s="4" t="str">
        <f t="shared" si="3"/>
        <v>INSERT INTO PARAMETRI_LINGUE (ID_PARA,ID_LINGUE_ISO,DESCRIZIONE) VALUES ((SELECT ID_PARA FROM PARA WHERE DOMINIO='GAS' AND CODICE='G23'),0,'R125');</v>
      </c>
      <c r="J24" s="50" t="str">
        <f t="shared" ref="J24:J40" si="8">CONCATENATE("insert into parametri (dominio,codice,descrizione) values ('",K24,"','",L24,"','",M24,"');")</f>
        <v>insert into parametri (dominio,codice,descrizione) values ('SIT','GRU','Grugliasco (TO)');</v>
      </c>
      <c r="K24" s="45" t="s">
        <v>424</v>
      </c>
      <c r="L24" s="45" t="s">
        <v>425</v>
      </c>
      <c r="M24" s="11" t="s">
        <v>82</v>
      </c>
      <c r="N24" s="4"/>
      <c r="R24" s="9" t="s">
        <v>83</v>
      </c>
      <c r="S24" s="4"/>
      <c r="T24" s="46" t="str">
        <f t="shared" si="6"/>
        <v>insert into parametri (dominio,codice,descrizione) values ('IMP','I23','Impurezza alto bollenti');</v>
      </c>
      <c r="U24" s="47" t="s">
        <v>395</v>
      </c>
      <c r="V24" s="47" t="s">
        <v>418</v>
      </c>
      <c r="W24" s="11" t="s">
        <v>84</v>
      </c>
      <c r="X24" s="4"/>
    </row>
    <row r="25" spans="1:24" ht="15.75" customHeight="1" x14ac:dyDescent="0.2">
      <c r="A25" s="42" t="s">
        <v>339</v>
      </c>
      <c r="B25" s="42" t="str">
        <f t="shared" si="0"/>
        <v>INSERT INTO TABELLE_PARAMETRI (DOMINIO,DESCRIZIONE) VALUES ('GAS','R32');</v>
      </c>
      <c r="D25" s="45" t="str">
        <f t="shared" si="1"/>
        <v>insert into parametri (dominio,codice,descrizione) values ('GAS','G24','R32');</v>
      </c>
      <c r="E25" s="46" t="s">
        <v>376</v>
      </c>
      <c r="F25" s="42" t="s">
        <v>339</v>
      </c>
      <c r="G25" s="11" t="s">
        <v>85</v>
      </c>
      <c r="H25" s="4" t="str">
        <f t="shared" si="2"/>
        <v>INSERT INTO PARA (DOMINIO,CODICE,ID_UTENTE_INS) VALUES ('GAS','G24',(SELECT ID_UTENTE FROM UTENTI WHERE USERNAME='armando.canto@airliquide.com'));</v>
      </c>
      <c r="I25" s="4" t="str">
        <f t="shared" si="3"/>
        <v>INSERT INTO PARAMETRI_LINGUE (ID_PARA,ID_LINGUE_ISO,DESCRIZIONE) VALUES ((SELECT ID_PARA FROM PARA WHERE DOMINIO='GAS' AND CODICE='G24'),0,'R32');</v>
      </c>
      <c r="J25" s="50" t="str">
        <f t="shared" si="8"/>
        <v>insert into parametri (dominio,codice,descrizione) values ('SIT','SAN','Sannazzaro (PV)');</v>
      </c>
      <c r="K25" s="50" t="s">
        <v>424</v>
      </c>
      <c r="L25" s="45" t="s">
        <v>426</v>
      </c>
      <c r="M25" s="11" t="s">
        <v>86</v>
      </c>
      <c r="N25" s="4"/>
      <c r="R25" s="12" t="s">
        <v>87</v>
      </c>
      <c r="S25" s="7"/>
      <c r="T25" s="46" t="str">
        <f t="shared" si="6"/>
        <v>insert into parametri (dominio,codice,descrizione) values ('IMP','I24','Acidità');</v>
      </c>
      <c r="U25" s="47" t="s">
        <v>395</v>
      </c>
      <c r="V25" s="47" t="s">
        <v>419</v>
      </c>
      <c r="W25" s="11" t="s">
        <v>88</v>
      </c>
      <c r="X25" s="4"/>
    </row>
    <row r="26" spans="1:24" ht="12.75" x14ac:dyDescent="0.2">
      <c r="A26" s="42" t="s">
        <v>340</v>
      </c>
      <c r="B26" s="42" t="str">
        <f t="shared" si="0"/>
        <v>INSERT INTO TABELLE_PARAMETRI (DOMINIO,DESCRIZIONE) VALUES ('GAS','R218');</v>
      </c>
      <c r="D26" s="45" t="str">
        <f t="shared" si="1"/>
        <v>insert into parametri (dominio,codice,descrizione) values ('GAS','G25','R218');</v>
      </c>
      <c r="E26" s="46" t="s">
        <v>376</v>
      </c>
      <c r="F26" s="42" t="s">
        <v>340</v>
      </c>
      <c r="G26" s="11" t="s">
        <v>89</v>
      </c>
      <c r="H26" s="4" t="str">
        <f t="shared" si="2"/>
        <v>INSERT INTO PARA (DOMINIO,CODICE,ID_UTENTE_INS) VALUES ('GAS','G25',(SELECT ID_UTENTE FROM UTENTI WHERE USERNAME='armando.canto@airliquide.com'));</v>
      </c>
      <c r="I26" s="4" t="str">
        <f t="shared" si="3"/>
        <v>INSERT INTO PARAMETRI_LINGUE (ID_PARA,ID_LINGUE_ISO,DESCRIZIONE) VALUES ((SELECT ID_PARA FROM PARA WHERE DOMINIO='GAS' AND CODICE='G25'),0,'R218');</v>
      </c>
      <c r="J26" s="50" t="str">
        <f t="shared" si="8"/>
        <v>insert into parametri (dominio,codice,descrizione) values ('SIT','ROD','Rodano (MI)');</v>
      </c>
      <c r="K26" s="50" t="s">
        <v>424</v>
      </c>
      <c r="L26" s="45" t="s">
        <v>427</v>
      </c>
      <c r="M26" s="11" t="s">
        <v>90</v>
      </c>
      <c r="N26" s="4"/>
      <c r="T26" s="46" t="str">
        <f t="shared" si="6"/>
        <v>insert into parametri (dominio,codice,descrizione) values ('IMP','I25','Alogenuri');</v>
      </c>
      <c r="U26" s="47" t="s">
        <v>395</v>
      </c>
      <c r="V26" s="47" t="s">
        <v>420</v>
      </c>
      <c r="W26" s="11" t="s">
        <v>91</v>
      </c>
      <c r="X26" s="4"/>
    </row>
    <row r="27" spans="1:24" ht="12.75" x14ac:dyDescent="0.2">
      <c r="A27" s="42" t="s">
        <v>341</v>
      </c>
      <c r="B27" s="42" t="str">
        <f t="shared" si="0"/>
        <v>INSERT INTO TABELLE_PARAMETRI (DOMINIO,DESCRIZIONE) VALUES ('GAS','R600');</v>
      </c>
      <c r="D27" s="45" t="str">
        <f t="shared" si="1"/>
        <v>insert into parametri (dominio,codice,descrizione) values ('GAS','G26','R600');</v>
      </c>
      <c r="E27" s="46" t="s">
        <v>376</v>
      </c>
      <c r="F27" s="42" t="s">
        <v>341</v>
      </c>
      <c r="G27" s="11" t="s">
        <v>92</v>
      </c>
      <c r="H27" s="4" t="str">
        <f t="shared" si="2"/>
        <v>INSERT INTO PARA (DOMINIO,CODICE,ID_UTENTE_INS) VALUES ('GAS','G26',(SELECT ID_UTENTE FROM UTENTI WHERE USERNAME='armando.canto@airliquide.com'));</v>
      </c>
      <c r="I27" s="4" t="str">
        <f t="shared" si="3"/>
        <v>INSERT INTO PARAMETRI_LINGUE (ID_PARA,ID_LINGUE_ISO,DESCRIZIONE) VALUES ((SELECT ID_PARA FROM PARA WHERE DOMINIO='GAS' AND CODICE='G26'),0,'R600');</v>
      </c>
      <c r="J27" s="50" t="str">
        <f t="shared" si="8"/>
        <v>insert into parametri (dominio,codice,descrizione) values ('SIT','RMO','Rodano MOD');</v>
      </c>
      <c r="K27" s="50" t="s">
        <v>424</v>
      </c>
      <c r="L27" s="47" t="s">
        <v>428</v>
      </c>
      <c r="M27" s="11" t="s">
        <v>93</v>
      </c>
      <c r="N27" s="4"/>
      <c r="T27" s="46" t="str">
        <f>CONCATENATE("insert into parametri (dominio,codice,descrizione) values ('",U27,"','",V27,"','",W27,"');")</f>
        <v>insert into parametri (dominio,codice,descrizione) values ('IMP','I27','Fosfuri, Solfuri, Sost. Riducenti');</v>
      </c>
      <c r="U27" s="47" t="s">
        <v>395</v>
      </c>
      <c r="V27" s="47" t="s">
        <v>421</v>
      </c>
      <c r="W27" s="11" t="s">
        <v>96</v>
      </c>
      <c r="X27" s="4"/>
    </row>
    <row r="28" spans="1:24" ht="12.75" x14ac:dyDescent="0.2">
      <c r="A28" s="42" t="s">
        <v>342</v>
      </c>
      <c r="B28" s="42" t="str">
        <f t="shared" si="0"/>
        <v>INSERT INTO TABELLE_PARAMETRI (DOMINIO,DESCRIZIONE) VALUES ('GAS','Pentano');</v>
      </c>
      <c r="D28" s="45" t="str">
        <f t="shared" si="1"/>
        <v>insert into parametri (dominio,codice,descrizione) values ('GAS','G27','Pentano');</v>
      </c>
      <c r="E28" s="46" t="s">
        <v>376</v>
      </c>
      <c r="F28" s="42" t="s">
        <v>342</v>
      </c>
      <c r="G28" s="11" t="s">
        <v>94</v>
      </c>
      <c r="H28" s="4" t="str">
        <f t="shared" si="2"/>
        <v>INSERT INTO PARA (DOMINIO,CODICE,ID_UTENTE_INS) VALUES ('GAS','G27',(SELECT ID_UTENTE FROM UTENTI WHERE USERNAME='armando.canto@airliquide.com'));</v>
      </c>
      <c r="I28" s="4" t="str">
        <f t="shared" si="3"/>
        <v>INSERT INTO PARAMETRI_LINGUE (ID_PARA,ID_LINGUE_ISO,DESCRIZIONE) VALUES ((SELECT ID_PARA FROM PARA WHERE DOMINIO='GAS' AND CODICE='G27'),0,'Pentano');</v>
      </c>
      <c r="J28" s="50" t="str">
        <f t="shared" si="8"/>
        <v>insert into parametri (dominio,codice,descrizione) values ('SIT','CHI','Chieve (CR)');</v>
      </c>
      <c r="K28" s="50" t="s">
        <v>424</v>
      </c>
      <c r="L28" s="47" t="s">
        <v>429</v>
      </c>
      <c r="M28" s="11" t="s">
        <v>95</v>
      </c>
      <c r="N28" s="4"/>
      <c r="T28" s="46" t="str">
        <f>CONCATENATE("insert into parametri (dominio,codice,descrizione) values ('",U28,"','",V28,"','",W28,"');")</f>
        <v>insert into parametri (dominio,codice,descrizione) values ('IMP','I28','Residuo dell''evaporazione');</v>
      </c>
      <c r="U28" s="47" t="s">
        <v>395</v>
      </c>
      <c r="V28" s="47" t="s">
        <v>422</v>
      </c>
      <c r="W28" s="49" t="s">
        <v>423</v>
      </c>
      <c r="X28" s="7"/>
    </row>
    <row r="29" spans="1:24" ht="12.75" x14ac:dyDescent="0.2">
      <c r="A29" s="42" t="s">
        <v>343</v>
      </c>
      <c r="B29" s="42" t="str">
        <f t="shared" si="0"/>
        <v>INSERT INTO TABELLE_PARAMETRI (DOMINIO,DESCRIZIONE) VALUES ('GAS','ETO');</v>
      </c>
      <c r="D29" s="45" t="str">
        <f t="shared" si="1"/>
        <v>insert into parametri (dominio,codice,descrizione) values ('GAS','G28','ETO');</v>
      </c>
      <c r="E29" s="46" t="s">
        <v>376</v>
      </c>
      <c r="F29" s="42" t="s">
        <v>343</v>
      </c>
      <c r="G29" s="12" t="s">
        <v>97</v>
      </c>
      <c r="H29" s="4" t="str">
        <f t="shared" si="2"/>
        <v>INSERT INTO PARA (DOMINIO,CODICE,ID_UTENTE_INS) VALUES ('GAS','G28',(SELECT ID_UTENTE FROM UTENTI WHERE USERNAME='armando.canto@airliquide.com'));</v>
      </c>
      <c r="I29" s="4" t="str">
        <f t="shared" si="3"/>
        <v>INSERT INTO PARAMETRI_LINGUE (ID_PARA,ID_LINGUE_ISO,DESCRIZIONE) VALUES ((SELECT ID_PARA FROM PARA WHERE DOMINIO='GAS' AND CODICE='G28'),0,'ETO');</v>
      </c>
      <c r="J29" s="50" t="str">
        <f t="shared" si="8"/>
        <v>insert into parametri (dominio,codice,descrizione) values ('SIT','TRE','Trevenzuolo (VR)');</v>
      </c>
      <c r="K29" s="50" t="s">
        <v>424</v>
      </c>
      <c r="L29" s="47" t="s">
        <v>430</v>
      </c>
      <c r="M29" s="11" t="s">
        <v>98</v>
      </c>
      <c r="N29" s="4"/>
      <c r="R29" s="10" t="s">
        <v>99</v>
      </c>
    </row>
    <row r="30" spans="1:24" ht="12.75" x14ac:dyDescent="0.2">
      <c r="J30" s="50" t="str">
        <f t="shared" si="8"/>
        <v>insert into parametri (dominio,codice,descrizione) values ('SIT','TRN','Trevenzuolo NAZIONALE - ITKF');</v>
      </c>
      <c r="K30" s="50" t="s">
        <v>424</v>
      </c>
      <c r="L30" s="47" t="s">
        <v>431</v>
      </c>
      <c r="M30" s="11" t="s">
        <v>101</v>
      </c>
      <c r="N30" s="4"/>
    </row>
    <row r="31" spans="1:24" ht="12.75" x14ac:dyDescent="0.2">
      <c r="G31" s="1" t="s">
        <v>102</v>
      </c>
      <c r="H31" s="2"/>
      <c r="I31" s="43"/>
      <c r="J31" s="50" t="str">
        <f t="shared" si="8"/>
        <v>insert into parametri (dominio,codice,descrizione) values ('SIT','PDV','Padova');</v>
      </c>
      <c r="K31" s="50" t="s">
        <v>424</v>
      </c>
      <c r="L31" s="47" t="s">
        <v>432</v>
      </c>
      <c r="M31" s="11" t="s">
        <v>103</v>
      </c>
      <c r="N31" s="4"/>
    </row>
    <row r="32" spans="1:24" ht="12.75" x14ac:dyDescent="0.2">
      <c r="D32" s="51" t="str">
        <f t="shared" ref="D32:D71" si="9">CONCATENATE("insert into parametri (dominio,codice,descrizione) values ('",E32,"','",F32,"','",G32,"');")</f>
        <v>insert into parametri (dominio,codice,descrizione) values ('FAM','F01','OSSIGENO Industriale ');</v>
      </c>
      <c r="E32" s="51" t="s">
        <v>442</v>
      </c>
      <c r="F32" s="47" t="s">
        <v>379</v>
      </c>
      <c r="G32" s="11" t="s">
        <v>104</v>
      </c>
      <c r="H32" s="4"/>
      <c r="I32" s="43"/>
      <c r="J32" s="50" t="str">
        <f t="shared" si="8"/>
        <v>insert into parametri (dominio,codice,descrizione) values ('SIT','MOD','Modena');</v>
      </c>
      <c r="K32" s="50" t="s">
        <v>424</v>
      </c>
      <c r="L32" s="47" t="s">
        <v>433</v>
      </c>
      <c r="M32" s="11" t="s">
        <v>105</v>
      </c>
      <c r="N32" s="4"/>
    </row>
    <row r="33" spans="4:14" ht="12.75" x14ac:dyDescent="0.2">
      <c r="D33" s="51" t="str">
        <f t="shared" si="9"/>
        <v>insert into parametri (dominio,codice,descrizione) values ('FAM','F02','ACETILENE Industriale');</v>
      </c>
      <c r="E33" s="51" t="s">
        <v>442</v>
      </c>
      <c r="F33" s="47" t="s">
        <v>380</v>
      </c>
      <c r="G33" s="11" t="s">
        <v>106</v>
      </c>
      <c r="H33" s="4"/>
      <c r="I33" s="43"/>
      <c r="J33" s="50" t="str">
        <f t="shared" si="8"/>
        <v>insert into parametri (dominio,codice,descrizione) values ('SIT','RAV','Ravenna');</v>
      </c>
      <c r="K33" s="50" t="s">
        <v>424</v>
      </c>
      <c r="L33" s="47" t="s">
        <v>434</v>
      </c>
      <c r="M33" s="11" t="s">
        <v>107</v>
      </c>
      <c r="N33" s="4"/>
    </row>
    <row r="34" spans="4:14" ht="12.75" x14ac:dyDescent="0.2">
      <c r="D34" s="51" t="str">
        <f t="shared" si="9"/>
        <v>insert into parametri (dominio,codice,descrizione) values ('FAM','F03','DIOSSIDO DI CARBONIO industriale');</v>
      </c>
      <c r="E34" s="51" t="s">
        <v>442</v>
      </c>
      <c r="F34" s="47" t="s">
        <v>381</v>
      </c>
      <c r="G34" s="11" t="s">
        <v>108</v>
      </c>
      <c r="H34" s="4"/>
      <c r="I34" s="43"/>
      <c r="J34" s="50" t="str">
        <f t="shared" si="8"/>
        <v>insert into parametri (dominio,codice,descrizione) values ('SIT','POR','Porto Recanati (MC)');</v>
      </c>
      <c r="K34" s="50" t="s">
        <v>424</v>
      </c>
      <c r="L34" s="47" t="s">
        <v>435</v>
      </c>
      <c r="M34" s="11" t="s">
        <v>109</v>
      </c>
      <c r="N34" s="4"/>
    </row>
    <row r="35" spans="4:14" ht="12.75" x14ac:dyDescent="0.2">
      <c r="D35" s="51" t="str">
        <f t="shared" si="9"/>
        <v>insert into parametri (dominio,codice,descrizione) values ('FAM','F04','ELIO Industriale');</v>
      </c>
      <c r="E35" s="51" t="s">
        <v>442</v>
      </c>
      <c r="F35" s="47" t="s">
        <v>382</v>
      </c>
      <c r="G35" s="11" t="s">
        <v>110</v>
      </c>
      <c r="H35" s="4"/>
      <c r="I35" s="43"/>
      <c r="J35" s="50" t="str">
        <f t="shared" si="8"/>
        <v>insert into parametri (dominio,codice,descrizione) values ('SIT','LUC','Lucca');</v>
      </c>
      <c r="K35" s="50" t="s">
        <v>424</v>
      </c>
      <c r="L35" s="47" t="s">
        <v>436</v>
      </c>
      <c r="M35" s="11" t="s">
        <v>111</v>
      </c>
      <c r="N35" s="4"/>
    </row>
    <row r="36" spans="4:14" ht="12.75" x14ac:dyDescent="0.2">
      <c r="D36" s="51" t="str">
        <f t="shared" si="9"/>
        <v>insert into parametri (dominio,codice,descrizione) values ('FAM','F05','AZOTO Industriale');</v>
      </c>
      <c r="E36" s="51" t="s">
        <v>442</v>
      </c>
      <c r="F36" s="47" t="s">
        <v>383</v>
      </c>
      <c r="G36" s="11" t="s">
        <v>112</v>
      </c>
      <c r="H36" s="4"/>
      <c r="I36" s="43"/>
      <c r="J36" s="50" t="str">
        <f t="shared" si="8"/>
        <v>insert into parametri (dominio,codice,descrizione) values ('SIT','LAN','Lanuvio (RM)');</v>
      </c>
      <c r="K36" s="50" t="s">
        <v>424</v>
      </c>
      <c r="L36" s="47" t="s">
        <v>437</v>
      </c>
      <c r="M36" s="11" t="s">
        <v>113</v>
      </c>
      <c r="N36" s="4"/>
    </row>
    <row r="37" spans="4:14" ht="12.75" x14ac:dyDescent="0.2">
      <c r="D37" s="51" t="str">
        <f t="shared" si="9"/>
        <v>insert into parametri (dominio,codice,descrizione) values ('FAM','F06','IDROGENO industriale');</v>
      </c>
      <c r="E37" s="51" t="s">
        <v>442</v>
      </c>
      <c r="F37" s="47" t="s">
        <v>384</v>
      </c>
      <c r="G37" s="11" t="s">
        <v>114</v>
      </c>
      <c r="H37" s="4"/>
      <c r="I37" s="43"/>
      <c r="J37" s="50" t="str">
        <f t="shared" si="8"/>
        <v>insert into parametri (dominio,codice,descrizione) values ('SIT','CAS','Caserta (CE)');</v>
      </c>
      <c r="K37" s="50" t="s">
        <v>424</v>
      </c>
      <c r="L37" s="47" t="s">
        <v>438</v>
      </c>
      <c r="M37" s="11" t="s">
        <v>115</v>
      </c>
      <c r="N37" s="4"/>
    </row>
    <row r="38" spans="4:14" ht="12.75" x14ac:dyDescent="0.2">
      <c r="D38" s="51" t="str">
        <f t="shared" si="9"/>
        <v>insert into parametri (dominio,codice,descrizione) values ('FAM','F07','NOXAL Infiammabile');</v>
      </c>
      <c r="E38" s="51" t="s">
        <v>442</v>
      </c>
      <c r="F38" s="47" t="s">
        <v>385</v>
      </c>
      <c r="G38" s="11" t="s">
        <v>116</v>
      </c>
      <c r="H38" s="4"/>
      <c r="I38" s="43"/>
      <c r="J38" s="50" t="str">
        <f t="shared" si="8"/>
        <v>insert into parametri (dominio,codice,descrizione) values ('SIT','OST','Ostuni (BR)');</v>
      </c>
      <c r="K38" s="50" t="s">
        <v>424</v>
      </c>
      <c r="L38" s="47" t="s">
        <v>439</v>
      </c>
      <c r="M38" s="11" t="s">
        <v>117</v>
      </c>
      <c r="N38" s="4"/>
    </row>
    <row r="39" spans="4:14" ht="12.75" x14ac:dyDescent="0.2">
      <c r="D39" s="51" t="str">
        <f t="shared" si="9"/>
        <v>insert into parametri (dominio,codice,descrizione) values ('FAM','F08','NOXAL Inerte');</v>
      </c>
      <c r="E39" s="51" t="s">
        <v>442</v>
      </c>
      <c r="F39" s="47" t="s">
        <v>386</v>
      </c>
      <c r="G39" s="11" t="s">
        <v>118</v>
      </c>
      <c r="H39" s="4"/>
      <c r="I39" s="43"/>
      <c r="J39" s="50" t="str">
        <f t="shared" si="8"/>
        <v>insert into parametri (dominio,codice,descrizione) values ('SIT','PRI','Priolo (SR)');</v>
      </c>
      <c r="K39" s="50" t="s">
        <v>424</v>
      </c>
      <c r="L39" s="47" t="s">
        <v>440</v>
      </c>
      <c r="M39" s="11" t="s">
        <v>119</v>
      </c>
      <c r="N39" s="4"/>
    </row>
    <row r="40" spans="4:14" ht="12.75" x14ac:dyDescent="0.2">
      <c r="D40" s="51" t="str">
        <f t="shared" si="9"/>
        <v>insert into parametri (dominio,codice,descrizione) values ('FAM','F09','ARIA Industriale NON RESPIRABILE');</v>
      </c>
      <c r="E40" s="51" t="s">
        <v>442</v>
      </c>
      <c r="F40" s="47" t="s">
        <v>387</v>
      </c>
      <c r="G40" s="11" t="s">
        <v>120</v>
      </c>
      <c r="H40" s="4"/>
      <c r="I40" s="43"/>
      <c r="J40" s="50" t="str">
        <f t="shared" si="8"/>
        <v>insert into parametri (dominio,codice,descrizione) values ('SIT','ASS','Assemini (CA)');</v>
      </c>
      <c r="K40" s="50" t="s">
        <v>424</v>
      </c>
      <c r="L40" s="47" t="s">
        <v>441</v>
      </c>
      <c r="M40" s="12" t="s">
        <v>121</v>
      </c>
      <c r="N40" s="7"/>
    </row>
    <row r="41" spans="4:14" ht="12.75" x14ac:dyDescent="0.2">
      <c r="D41" s="51" t="str">
        <f t="shared" si="9"/>
        <v>insert into parametri (dominio,codice,descrizione) values ('FAM','F10','ATAL industriale');</v>
      </c>
      <c r="E41" s="51" t="s">
        <v>442</v>
      </c>
      <c r="F41" s="47" t="s">
        <v>445</v>
      </c>
      <c r="G41" s="11" t="s">
        <v>122</v>
      </c>
      <c r="H41" s="4"/>
      <c r="I41" s="43"/>
    </row>
    <row r="42" spans="4:14" ht="12.75" x14ac:dyDescent="0.2">
      <c r="D42" s="51" t="str">
        <f t="shared" si="9"/>
        <v>insert into parametri (dominio,codice,descrizione) values ('FAM','F11','Argon Industriale');</v>
      </c>
      <c r="E42" s="51" t="s">
        <v>442</v>
      </c>
      <c r="F42" s="47" t="s">
        <v>446</v>
      </c>
      <c r="G42" s="11" t="s">
        <v>123</v>
      </c>
      <c r="H42" s="4"/>
      <c r="I42" s="43"/>
    </row>
    <row r="43" spans="4:14" ht="12.75" x14ac:dyDescent="0.2">
      <c r="D43" s="51" t="str">
        <f t="shared" si="9"/>
        <v>insert into parametri (dominio,codice,descrizione) values ('FAM','F12','SIOETIL');</v>
      </c>
      <c r="E43" s="51" t="s">
        <v>442</v>
      </c>
      <c r="F43" s="47" t="s">
        <v>447</v>
      </c>
      <c r="G43" s="11" t="s">
        <v>124</v>
      </c>
      <c r="H43" s="4"/>
      <c r="I43" s="43"/>
    </row>
    <row r="44" spans="4:14" ht="12.75" x14ac:dyDescent="0.2">
      <c r="D44" s="51" t="str">
        <f t="shared" si="9"/>
        <v>insert into parametri (dominio,codice,descrizione) values ('FAM','F13','MIX AZOTO - IDROGENO INERTE');</v>
      </c>
      <c r="E44" s="51" t="s">
        <v>442</v>
      </c>
      <c r="F44" s="47" t="s">
        <v>448</v>
      </c>
      <c r="G44" s="11" t="s">
        <v>125</v>
      </c>
      <c r="H44" s="4"/>
      <c r="I44" s="43"/>
    </row>
    <row r="45" spans="4:14" ht="12.75" x14ac:dyDescent="0.2">
      <c r="D45" s="51" t="str">
        <f t="shared" si="9"/>
        <v>insert into parametri (dominio,codice,descrizione) values ('FAM','F14','ALIGAL 1');</v>
      </c>
      <c r="E45" s="51" t="s">
        <v>442</v>
      </c>
      <c r="F45" s="47" t="s">
        <v>449</v>
      </c>
      <c r="G45" s="11" t="s">
        <v>126</v>
      </c>
      <c r="H45" s="4"/>
      <c r="I45" s="43"/>
    </row>
    <row r="46" spans="4:14" ht="12.75" x14ac:dyDescent="0.2">
      <c r="D46" s="51" t="str">
        <f t="shared" si="9"/>
        <v>insert into parametri (dominio,codice,descrizione) values ('FAM','F15','ALIGAL 2 ');</v>
      </c>
      <c r="E46" s="51" t="s">
        <v>442</v>
      </c>
      <c r="F46" s="47" t="s">
        <v>450</v>
      </c>
      <c r="G46" s="11" t="s">
        <v>127</v>
      </c>
      <c r="H46" s="4"/>
      <c r="I46" s="43"/>
    </row>
    <row r="47" spans="4:14" ht="12.75" x14ac:dyDescent="0.2">
      <c r="D47" s="51" t="str">
        <f t="shared" si="9"/>
        <v>insert into parametri (dominio,codice,descrizione) values ('FAM','F16','ALIGAL 3');</v>
      </c>
      <c r="E47" s="51" t="s">
        <v>442</v>
      </c>
      <c r="F47" s="47" t="s">
        <v>451</v>
      </c>
      <c r="G47" s="11" t="s">
        <v>128</v>
      </c>
      <c r="H47" s="4"/>
      <c r="I47" s="43"/>
    </row>
    <row r="48" spans="4:14" ht="12.75" x14ac:dyDescent="0.2">
      <c r="D48" s="51" t="str">
        <f t="shared" si="9"/>
        <v>insert into parametri (dominio,codice,descrizione) values ('FAM','F17','ALIGAL 6');</v>
      </c>
      <c r="E48" s="51" t="s">
        <v>442</v>
      </c>
      <c r="F48" s="47" t="s">
        <v>452</v>
      </c>
      <c r="G48" s="11" t="s">
        <v>129</v>
      </c>
      <c r="H48" s="4"/>
      <c r="I48" s="43"/>
    </row>
    <row r="49" spans="4:9" ht="12.75" x14ac:dyDescent="0.2">
      <c r="D49" s="51" t="str">
        <f t="shared" si="9"/>
        <v>insert into parametri (dominio,codice,descrizione) values ('FAM','F18','ALIGAL MIX');</v>
      </c>
      <c r="E49" s="51" t="s">
        <v>442</v>
      </c>
      <c r="F49" s="47" t="s">
        <v>453</v>
      </c>
      <c r="G49" s="11" t="s">
        <v>130</v>
      </c>
      <c r="H49" s="4"/>
      <c r="I49" s="43"/>
    </row>
    <row r="50" spans="4:9" ht="12.75" x14ac:dyDescent="0.2">
      <c r="D50" s="51" t="str">
        <f t="shared" si="9"/>
        <v>insert into parametri (dominio,codice,descrizione) values ('FAM','F19','ALIGAL 49');</v>
      </c>
      <c r="E50" s="51" t="s">
        <v>442</v>
      </c>
      <c r="F50" s="47" t="s">
        <v>454</v>
      </c>
      <c r="G50" s="11" t="s">
        <v>131</v>
      </c>
      <c r="H50" s="4"/>
      <c r="I50" s="43"/>
    </row>
    <row r="51" spans="4:9" ht="12.75" x14ac:dyDescent="0.2">
      <c r="D51" s="51" t="str">
        <f t="shared" si="9"/>
        <v>insert into parametri (dominio,codice,descrizione) values ('FAM','F20','ALIGAL 62');</v>
      </c>
      <c r="E51" s="51" t="s">
        <v>442</v>
      </c>
      <c r="F51" s="47" t="s">
        <v>455</v>
      </c>
      <c r="G51" s="11" t="s">
        <v>132</v>
      </c>
      <c r="H51" s="4"/>
      <c r="I51" s="43"/>
    </row>
    <row r="52" spans="4:9" ht="12.75" x14ac:dyDescent="0.2">
      <c r="D52" s="51" t="str">
        <f t="shared" si="9"/>
        <v>insert into parametri (dominio,codice,descrizione) values ('FAM','F21','ARCAL 1');</v>
      </c>
      <c r="E52" s="51" t="s">
        <v>442</v>
      </c>
      <c r="F52" s="47" t="s">
        <v>456</v>
      </c>
      <c r="G52" s="11" t="s">
        <v>133</v>
      </c>
      <c r="H52" s="4"/>
      <c r="I52" s="43"/>
    </row>
    <row r="53" spans="4:9" ht="12.75" x14ac:dyDescent="0.2">
      <c r="D53" s="51" t="str">
        <f t="shared" si="9"/>
        <v>insert into parametri (dominio,codice,descrizione) values ('FAM','F22','ARCAL MIX');</v>
      </c>
      <c r="E53" s="51" t="s">
        <v>442</v>
      </c>
      <c r="F53" s="47" t="s">
        <v>457</v>
      </c>
      <c r="G53" s="11" t="s">
        <v>134</v>
      </c>
      <c r="H53" s="4"/>
      <c r="I53" s="43"/>
    </row>
    <row r="54" spans="4:9" ht="12.75" x14ac:dyDescent="0.2">
      <c r="D54" s="51" t="str">
        <f t="shared" si="9"/>
        <v>insert into parametri (dominio,codice,descrizione) values ('FAM','F23','ARCA MIX TP');</v>
      </c>
      <c r="E54" s="51" t="s">
        <v>442</v>
      </c>
      <c r="F54" s="47" t="s">
        <v>458</v>
      </c>
      <c r="G54" s="11" t="s">
        <v>135</v>
      </c>
      <c r="H54" s="4"/>
      <c r="I54" s="43"/>
    </row>
    <row r="55" spans="4:9" ht="12.75" x14ac:dyDescent="0.2">
      <c r="D55" s="51" t="str">
        <f t="shared" si="9"/>
        <v>insert into parametri (dominio,codice,descrizione) values ('FAM','F24','ACETILENE  N26');</v>
      </c>
      <c r="E55" s="51" t="s">
        <v>442</v>
      </c>
      <c r="F55" s="47" t="s">
        <v>459</v>
      </c>
      <c r="G55" s="11" t="s">
        <v>136</v>
      </c>
      <c r="H55" s="4"/>
      <c r="I55" s="43"/>
    </row>
    <row r="56" spans="4:9" ht="12.75" x14ac:dyDescent="0.2">
      <c r="D56" s="51" t="str">
        <f t="shared" si="9"/>
        <v>insert into parametri (dominio,codice,descrizione) values ('FAM','F25','OSSIGENO ALTOP');</v>
      </c>
      <c r="E56" s="51" t="s">
        <v>442</v>
      </c>
      <c r="F56" s="47" t="s">
        <v>460</v>
      </c>
      <c r="G56" s="11" t="s">
        <v>137</v>
      </c>
      <c r="H56" s="4"/>
      <c r="I56" s="43"/>
    </row>
    <row r="57" spans="4:9" ht="12.75" x14ac:dyDescent="0.2">
      <c r="D57" s="51" t="str">
        <f t="shared" si="9"/>
        <v>insert into parametri (dominio,codice,descrizione) values ('FAM','F26','LASAL MIX/81');</v>
      </c>
      <c r="E57" s="51" t="s">
        <v>442</v>
      </c>
      <c r="F57" s="47" t="s">
        <v>461</v>
      </c>
      <c r="G57" s="11" t="s">
        <v>138</v>
      </c>
      <c r="H57" s="4"/>
      <c r="I57" s="43"/>
    </row>
    <row r="58" spans="4:9" ht="12.75" x14ac:dyDescent="0.2">
      <c r="D58" s="51" t="str">
        <f t="shared" si="9"/>
        <v>insert into parametri (dominio,codice,descrizione) values ('FAM','F27','LASAL 1');</v>
      </c>
      <c r="E58" s="51" t="s">
        <v>442</v>
      </c>
      <c r="F58" s="47" t="s">
        <v>462</v>
      </c>
      <c r="G58" s="11" t="s">
        <v>139</v>
      </c>
      <c r="H58" s="4"/>
      <c r="I58" s="43"/>
    </row>
    <row r="59" spans="4:9" ht="12.75" x14ac:dyDescent="0.2">
      <c r="D59" s="51" t="str">
        <f t="shared" si="9"/>
        <v>insert into parametri (dominio,codice,descrizione) values ('FAM','F28','LASAL 2');</v>
      </c>
      <c r="E59" s="51" t="s">
        <v>442</v>
      </c>
      <c r="F59" s="47" t="s">
        <v>463</v>
      </c>
      <c r="G59" s="11" t="s">
        <v>140</v>
      </c>
      <c r="H59" s="4"/>
      <c r="I59" s="43"/>
    </row>
    <row r="60" spans="4:9" ht="12.75" x14ac:dyDescent="0.2">
      <c r="D60" s="51" t="str">
        <f t="shared" si="9"/>
        <v>insert into parametri (dominio,codice,descrizione) values ('FAM','F29','LASAL 2003');</v>
      </c>
      <c r="E60" s="51" t="s">
        <v>442</v>
      </c>
      <c r="F60" s="47" t="s">
        <v>464</v>
      </c>
      <c r="G60" s="11" t="s">
        <v>141</v>
      </c>
      <c r="H60" s="4"/>
      <c r="I60" s="43"/>
    </row>
    <row r="61" spans="4:9" ht="12.75" x14ac:dyDescent="0.2">
      <c r="D61" s="51" t="str">
        <f t="shared" si="9"/>
        <v>insert into parametri (dominio,codice,descrizione) values ('FAM','F30','LASAL 83');</v>
      </c>
      <c r="E61" s="51" t="s">
        <v>442</v>
      </c>
      <c r="F61" s="47" t="s">
        <v>465</v>
      </c>
      <c r="G61" s="11" t="s">
        <v>142</v>
      </c>
      <c r="H61" s="4"/>
      <c r="I61" s="43"/>
    </row>
    <row r="62" spans="4:9" ht="12.75" x14ac:dyDescent="0.2">
      <c r="D62" s="51" t="str">
        <f t="shared" si="9"/>
        <v>insert into parametri (dominio,codice,descrizione) values ('FAM','F31','N2O PURO');</v>
      </c>
      <c r="E62" s="51" t="s">
        <v>442</v>
      </c>
      <c r="F62" s="47" t="s">
        <v>466</v>
      </c>
      <c r="G62" s="11" t="s">
        <v>143</v>
      </c>
      <c r="H62" s="4"/>
      <c r="I62" s="43"/>
    </row>
    <row r="63" spans="4:9" ht="12.75" x14ac:dyDescent="0.2">
      <c r="D63" s="51" t="str">
        <f t="shared" si="9"/>
        <v>insert into parametri (dominio,codice,descrizione) values ('FAM','F32','ALPHAGAZ ELIO');</v>
      </c>
      <c r="E63" s="51" t="s">
        <v>442</v>
      </c>
      <c r="F63" s="47" t="s">
        <v>467</v>
      </c>
      <c r="G63" s="11" t="s">
        <v>144</v>
      </c>
      <c r="H63" s="4"/>
      <c r="I63" s="43"/>
    </row>
    <row r="64" spans="4:9" ht="12.75" x14ac:dyDescent="0.2">
      <c r="D64" s="51" t="str">
        <f t="shared" si="9"/>
        <v>insert into parametri (dominio,codice,descrizione) values ('FAM','F33','ALPHAGAZ  ARGON');</v>
      </c>
      <c r="E64" s="51" t="s">
        <v>442</v>
      </c>
      <c r="F64" s="47" t="s">
        <v>468</v>
      </c>
      <c r="G64" s="11" t="s">
        <v>145</v>
      </c>
      <c r="H64" s="4"/>
      <c r="I64" s="43"/>
    </row>
    <row r="65" spans="4:9" ht="12.75" x14ac:dyDescent="0.2">
      <c r="D65" s="51" t="str">
        <f t="shared" si="9"/>
        <v>insert into parametri (dominio,codice,descrizione) values ('FAM','F34','ALPHAGAZ ARIA');</v>
      </c>
      <c r="E65" s="51" t="s">
        <v>442</v>
      </c>
      <c r="F65" s="47" t="s">
        <v>469</v>
      </c>
      <c r="G65" s="11" t="s">
        <v>146</v>
      </c>
      <c r="H65" s="4"/>
      <c r="I65" s="43"/>
    </row>
    <row r="66" spans="4:9" ht="12.75" x14ac:dyDescent="0.2">
      <c r="D66" s="51" t="str">
        <f t="shared" si="9"/>
        <v>insert into parametri (dominio,codice,descrizione) values ('FAM','F35','ALPHAGAZ OSSIGENO');</v>
      </c>
      <c r="E66" s="51" t="s">
        <v>442</v>
      </c>
      <c r="F66" s="47" t="s">
        <v>470</v>
      </c>
      <c r="G66" s="11" t="s">
        <v>147</v>
      </c>
      <c r="H66" s="4"/>
      <c r="I66" s="43"/>
    </row>
    <row r="67" spans="4:9" ht="12.75" x14ac:dyDescent="0.2">
      <c r="D67" s="51" t="str">
        <f t="shared" si="9"/>
        <v>insert into parametri (dominio,codice,descrizione) values ('FAM','F36','ALPHAGAZ AZOTO');</v>
      </c>
      <c r="E67" s="51" t="s">
        <v>442</v>
      </c>
      <c r="F67" s="47" t="s">
        <v>471</v>
      </c>
      <c r="G67" s="11" t="s">
        <v>148</v>
      </c>
      <c r="H67" s="4"/>
      <c r="I67" s="43"/>
    </row>
    <row r="68" spans="4:9" ht="12.75" x14ac:dyDescent="0.2">
      <c r="D68" s="51" t="str">
        <f t="shared" si="9"/>
        <v>insert into parametri (dominio,codice,descrizione) values ('FAM','F37','AHG MIX Inerte');</v>
      </c>
      <c r="E68" s="51" t="s">
        <v>442</v>
      </c>
      <c r="F68" s="47" t="s">
        <v>472</v>
      </c>
      <c r="G68" s="11" t="s">
        <v>149</v>
      </c>
      <c r="H68" s="4"/>
      <c r="I68" s="43"/>
    </row>
    <row r="69" spans="4:9" ht="12.75" x14ac:dyDescent="0.2">
      <c r="D69" s="51" t="str">
        <f t="shared" si="9"/>
        <v>insert into parametri (dominio,codice,descrizione) values ('FAM','F38','AHG MIX Infiammabile');</v>
      </c>
      <c r="E69" s="51" t="s">
        <v>442</v>
      </c>
      <c r="F69" s="47" t="s">
        <v>473</v>
      </c>
      <c r="G69" s="11" t="s">
        <v>150</v>
      </c>
      <c r="H69" s="4"/>
      <c r="I69" s="43"/>
    </row>
    <row r="70" spans="4:9" ht="12.75" x14ac:dyDescent="0.2">
      <c r="D70" s="51" t="str">
        <f t="shared" si="9"/>
        <v>insert into parametri (dominio,codice,descrizione) values ('FAM','F39','CO₂ PURO senza TP');</v>
      </c>
      <c r="E70" s="51" t="s">
        <v>442</v>
      </c>
      <c r="F70" s="47" t="s">
        <v>474</v>
      </c>
      <c r="G70" s="11" t="s">
        <v>443</v>
      </c>
      <c r="H70" s="4"/>
      <c r="I70" s="43"/>
    </row>
    <row r="71" spans="4:9" ht="12.75" x14ac:dyDescent="0.2">
      <c r="D71" s="51" t="str">
        <f t="shared" si="9"/>
        <v>insert into parametri (dominio,codice,descrizione) values ('FAM','F40','CO₂ PURO con TP');</v>
      </c>
      <c r="E71" s="51" t="s">
        <v>442</v>
      </c>
      <c r="F71" s="47" t="s">
        <v>475</v>
      </c>
      <c r="G71" s="12" t="s">
        <v>444</v>
      </c>
      <c r="H71" s="7"/>
      <c r="I71" s="4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2"/>
  <sheetViews>
    <sheetView workbookViewId="0"/>
  </sheetViews>
  <sheetFormatPr defaultColWidth="14.42578125" defaultRowHeight="15.75" customHeight="1" x14ac:dyDescent="0.2"/>
  <cols>
    <col min="1" max="1" width="60.140625" customWidth="1"/>
  </cols>
  <sheetData>
    <row r="2" spans="1:1" ht="18" x14ac:dyDescent="0.25">
      <c r="A2" s="13" t="s">
        <v>153</v>
      </c>
    </row>
    <row r="3" spans="1:1" ht="15.75" customHeight="1" x14ac:dyDescent="0.2">
      <c r="A3" s="14" t="s">
        <v>104</v>
      </c>
    </row>
    <row r="4" spans="1:1" ht="15.75" customHeight="1" x14ac:dyDescent="0.2">
      <c r="A4" s="14" t="s">
        <v>106</v>
      </c>
    </row>
    <row r="5" spans="1:1" ht="15.75" customHeight="1" x14ac:dyDescent="0.2">
      <c r="A5" s="14" t="s">
        <v>108</v>
      </c>
    </row>
    <row r="6" spans="1:1" ht="15.75" customHeight="1" x14ac:dyDescent="0.2">
      <c r="A6" s="14" t="s">
        <v>110</v>
      </c>
    </row>
    <row r="7" spans="1:1" ht="15.75" customHeight="1" x14ac:dyDescent="0.2">
      <c r="A7" s="14" t="s">
        <v>112</v>
      </c>
    </row>
    <row r="8" spans="1:1" ht="15.75" customHeight="1" x14ac:dyDescent="0.2">
      <c r="A8" s="14" t="s">
        <v>114</v>
      </c>
    </row>
    <row r="9" spans="1:1" ht="15.75" customHeight="1" x14ac:dyDescent="0.2">
      <c r="A9" s="14" t="s">
        <v>116</v>
      </c>
    </row>
    <row r="10" spans="1:1" ht="15.75" customHeight="1" x14ac:dyDescent="0.2">
      <c r="A10" s="14" t="s">
        <v>118</v>
      </c>
    </row>
    <row r="11" spans="1:1" ht="15.75" customHeight="1" x14ac:dyDescent="0.2">
      <c r="A11" s="14" t="s">
        <v>120</v>
      </c>
    </row>
    <row r="12" spans="1:1" ht="15.75" customHeight="1" x14ac:dyDescent="0.2">
      <c r="A12" s="14" t="s">
        <v>122</v>
      </c>
    </row>
    <row r="13" spans="1:1" ht="15.75" customHeight="1" x14ac:dyDescent="0.2">
      <c r="A13" s="14" t="s">
        <v>123</v>
      </c>
    </row>
    <row r="14" spans="1:1" ht="15.75" customHeight="1" x14ac:dyDescent="0.2">
      <c r="A14" s="14" t="s">
        <v>124</v>
      </c>
    </row>
    <row r="15" spans="1:1" ht="15.75" customHeight="1" x14ac:dyDescent="0.2">
      <c r="A15" s="14" t="s">
        <v>125</v>
      </c>
    </row>
    <row r="16" spans="1:1" ht="15.75" customHeight="1" x14ac:dyDescent="0.2">
      <c r="A16" s="17" t="s">
        <v>126</v>
      </c>
    </row>
    <row r="17" spans="1:1" ht="15.75" customHeight="1" x14ac:dyDescent="0.2">
      <c r="A17" s="17" t="s">
        <v>127</v>
      </c>
    </row>
    <row r="18" spans="1:1" ht="15.75" customHeight="1" x14ac:dyDescent="0.2">
      <c r="A18" s="17" t="s">
        <v>128</v>
      </c>
    </row>
    <row r="19" spans="1:1" ht="15.75" customHeight="1" x14ac:dyDescent="0.2">
      <c r="A19" s="17" t="s">
        <v>129</v>
      </c>
    </row>
    <row r="20" spans="1:1" ht="15.75" customHeight="1" x14ac:dyDescent="0.2">
      <c r="A20" s="17" t="s">
        <v>130</v>
      </c>
    </row>
    <row r="21" spans="1:1" ht="15.75" customHeight="1" x14ac:dyDescent="0.2">
      <c r="A21" s="17" t="s">
        <v>131</v>
      </c>
    </row>
    <row r="22" spans="1:1" ht="15.75" customHeight="1" x14ac:dyDescent="0.2">
      <c r="A22" s="17" t="s">
        <v>132</v>
      </c>
    </row>
    <row r="23" spans="1:1" ht="15.75" customHeight="1" x14ac:dyDescent="0.2">
      <c r="A23" s="20" t="s">
        <v>133</v>
      </c>
    </row>
    <row r="24" spans="1:1" ht="15.75" customHeight="1" x14ac:dyDescent="0.2">
      <c r="A24" s="20" t="s">
        <v>134</v>
      </c>
    </row>
    <row r="25" spans="1:1" ht="15.75" customHeight="1" x14ac:dyDescent="0.2">
      <c r="A25" s="20" t="s">
        <v>135</v>
      </c>
    </row>
    <row r="26" spans="1:1" ht="12.75" x14ac:dyDescent="0.2">
      <c r="A26" s="20" t="s">
        <v>136</v>
      </c>
    </row>
    <row r="27" spans="1:1" ht="12.75" x14ac:dyDescent="0.2">
      <c r="A27" s="20" t="s">
        <v>137</v>
      </c>
    </row>
    <row r="28" spans="1:1" ht="12.75" x14ac:dyDescent="0.2">
      <c r="A28" s="20" t="s">
        <v>138</v>
      </c>
    </row>
    <row r="29" spans="1:1" ht="12.75" x14ac:dyDescent="0.2">
      <c r="A29" s="20" t="s">
        <v>139</v>
      </c>
    </row>
    <row r="30" spans="1:1" ht="12.75" x14ac:dyDescent="0.2">
      <c r="A30" s="20" t="s">
        <v>140</v>
      </c>
    </row>
    <row r="31" spans="1:1" ht="12.75" x14ac:dyDescent="0.2">
      <c r="A31" s="20" t="s">
        <v>141</v>
      </c>
    </row>
    <row r="32" spans="1:1" ht="12.75" x14ac:dyDescent="0.2">
      <c r="A32" s="20" t="s">
        <v>142</v>
      </c>
    </row>
    <row r="33" spans="1:1" ht="12.75" x14ac:dyDescent="0.2">
      <c r="A33" s="20" t="s">
        <v>143</v>
      </c>
    </row>
    <row r="34" spans="1:1" ht="12.75" x14ac:dyDescent="0.2">
      <c r="A34" s="20" t="s">
        <v>144</v>
      </c>
    </row>
    <row r="35" spans="1:1" ht="12.75" x14ac:dyDescent="0.2">
      <c r="A35" s="20" t="s">
        <v>145</v>
      </c>
    </row>
    <row r="36" spans="1:1" ht="12.75" x14ac:dyDescent="0.2">
      <c r="A36" s="20" t="s">
        <v>146</v>
      </c>
    </row>
    <row r="37" spans="1:1" ht="12.75" x14ac:dyDescent="0.2">
      <c r="A37" s="20" t="s">
        <v>147</v>
      </c>
    </row>
    <row r="38" spans="1:1" ht="12.75" x14ac:dyDescent="0.2">
      <c r="A38" s="20" t="s">
        <v>148</v>
      </c>
    </row>
    <row r="39" spans="1:1" ht="12.75" x14ac:dyDescent="0.2">
      <c r="A39" s="20" t="s">
        <v>149</v>
      </c>
    </row>
    <row r="40" spans="1:1" ht="12.75" x14ac:dyDescent="0.2">
      <c r="A40" s="20" t="s">
        <v>150</v>
      </c>
    </row>
    <row r="41" spans="1:1" ht="12.75" x14ac:dyDescent="0.2">
      <c r="A41" s="20" t="s">
        <v>151</v>
      </c>
    </row>
    <row r="42" spans="1:1" ht="12.75" x14ac:dyDescent="0.2">
      <c r="A42" s="20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G2" sqref="G2:G19"/>
    </sheetView>
  </sheetViews>
  <sheetFormatPr defaultRowHeight="12.75" x14ac:dyDescent="0.2"/>
  <cols>
    <col min="1" max="1" width="21.7109375" bestFit="1" customWidth="1"/>
    <col min="2" max="2" width="15.28515625" bestFit="1" customWidth="1"/>
    <col min="3" max="3" width="21" bestFit="1" customWidth="1"/>
    <col min="4" max="4" width="16.28515625" bestFit="1" customWidth="1"/>
    <col min="5" max="5" width="31" bestFit="1" customWidth="1"/>
    <col min="6" max="6" width="9.85546875" bestFit="1" customWidth="1"/>
  </cols>
  <sheetData>
    <row r="1" spans="1:7" x14ac:dyDescent="0.2">
      <c r="A1" t="s">
        <v>344</v>
      </c>
      <c r="B1" t="s">
        <v>345</v>
      </c>
      <c r="C1" t="s">
        <v>346</v>
      </c>
      <c r="D1" t="s">
        <v>347</v>
      </c>
      <c r="E1" t="s">
        <v>348</v>
      </c>
      <c r="F1" t="s">
        <v>349</v>
      </c>
    </row>
    <row r="2" spans="1:7" x14ac:dyDescent="0.2">
      <c r="A2" t="s">
        <v>133</v>
      </c>
      <c r="B2" s="23" t="s">
        <v>24</v>
      </c>
      <c r="C2" s="23" t="s">
        <v>190</v>
      </c>
      <c r="D2" s="10" t="s">
        <v>191</v>
      </c>
      <c r="E2" s="28" t="s">
        <v>192</v>
      </c>
      <c r="F2" s="10">
        <v>58621</v>
      </c>
      <c r="G2" t="str">
        <f>CONCATENATE("INSERT INTO PRODOTTI_GAS (NOME_COMMERCIALE,COMPOSIZIONE,FAMIGLIA_PRODOTTO,COD_PRODOTTO,DESCRIZIONE_PRODOTTO,COD_SAP,ID_UTENTE_INS) VALUES ('",A2,"','",B2,"','",C2,"','",D2,"','",E2,"','",F2,"',(SELECT ID_UTENTE FROM UTENTI WHERE USERNAME='armando.canto@airliquide.com'));")</f>
        <v>INSERT INTO PRODOTTI_GAS (NOME_COMMERCIALE,COMPOSIZIONE,FAMIGLIA_PRODOTTO,COD_PRODOTTO,DESCRIZIONE_PRODOTTO,COD_SAP,ID_UTENTE_INS) VALUES ('ARCAL 1','Ar','Argon','I2010L40A2A001','ARCAL 1 BB-L ALTOP 40/200','58621',(SELECT ID_UTENTE FROM UTENTI WHERE USERNAME='armando.canto@airliquide.com'));</v>
      </c>
    </row>
    <row r="3" spans="1:7" x14ac:dyDescent="0.2">
      <c r="A3" t="s">
        <v>133</v>
      </c>
      <c r="B3" s="23" t="s">
        <v>24</v>
      </c>
      <c r="C3" s="23" t="s">
        <v>190</v>
      </c>
      <c r="D3" s="10" t="s">
        <v>193</v>
      </c>
      <c r="E3" s="28" t="s">
        <v>194</v>
      </c>
      <c r="F3" s="10">
        <v>58621</v>
      </c>
      <c r="G3" t="str">
        <f t="shared" ref="G3:G19" si="0">CONCATENATE("INSERT INTO PRODOTTI_GAS (NOME_COMMERCIALE,COMPOSIZIONE,FAMIGLIA_PRODOTTO,COD_PRODOTTO,DESCRIZIONE_PRODOTTO,COD_SAP,ID_UTENTE_INS) VALUES ('",A3,"','",B3,"','",C3,"','",D3,"','",E3,"','",F3,"',(SELECT ID_UTENTE FROM UTENTI WHERE USERNAME='armando.canto@airliquide.com'));")</f>
        <v>INSERT INTO PRODOTTI_GAS (NOME_COMMERCIALE,COMPOSIZIONE,FAMIGLIA_PRODOTTO,COD_PRODOTTO,DESCRIZIONE_PRODOTTO,COD_SAP,ID_UTENTE_INS) VALUES ('ARCAL 1','Ar','Argon','I2010L50A2A001','ARCAL 1 BB-L ALTOP 50/200','58621',(SELECT ID_UTENTE FROM UTENTI WHERE USERNAME='armando.canto@airliquide.com'));</v>
      </c>
    </row>
    <row r="4" spans="1:7" x14ac:dyDescent="0.2">
      <c r="A4" t="s">
        <v>133</v>
      </c>
      <c r="B4" s="23" t="s">
        <v>24</v>
      </c>
      <c r="C4" s="23" t="s">
        <v>190</v>
      </c>
      <c r="D4" s="10" t="s">
        <v>195</v>
      </c>
      <c r="E4" s="28" t="s">
        <v>196</v>
      </c>
      <c r="F4" s="10">
        <v>58621</v>
      </c>
      <c r="G4" t="str">
        <f t="shared" si="0"/>
        <v>INSERT INTO PRODOTTI_GAS (NOME_COMMERCIALE,COMPOSIZIONE,FAMIGLIA_PRODOTTO,COD_PRODOTTO,DESCRIZIONE_PRODOTTO,COD_SAP,ID_UTENTE_INS) VALUES ('ARCAL 1','Ar','Argon','I2010L40R2A001','ARCAL 1 BB-L REG 40/200','58621',(SELECT ID_UTENTE FROM UTENTI WHERE USERNAME='armando.canto@airliquide.com'));</v>
      </c>
    </row>
    <row r="5" spans="1:7" x14ac:dyDescent="0.2">
      <c r="A5" t="s">
        <v>133</v>
      </c>
      <c r="B5" s="23" t="s">
        <v>24</v>
      </c>
      <c r="C5" s="23" t="s">
        <v>190</v>
      </c>
      <c r="D5" s="10" t="s">
        <v>197</v>
      </c>
      <c r="E5" s="28" t="s">
        <v>198</v>
      </c>
      <c r="F5" s="10">
        <v>58621</v>
      </c>
      <c r="G5" t="str">
        <f t="shared" si="0"/>
        <v>INSERT INTO PRODOTTI_GAS (NOME_COMMERCIALE,COMPOSIZIONE,FAMIGLIA_PRODOTTO,COD_PRODOTTO,DESCRIZIONE_PRODOTTO,COD_SAP,ID_UTENTE_INS) VALUES ('ARCAL 1','Ar','Argon','I2010L50R2A001','ARCAL 1 BB-L REG 50/200','58621',(SELECT ID_UTENTE FROM UTENTI WHERE USERNAME='armando.canto@airliquide.com'));</v>
      </c>
    </row>
    <row r="6" spans="1:7" x14ac:dyDescent="0.2">
      <c r="A6" t="s">
        <v>133</v>
      </c>
      <c r="B6" s="23" t="s">
        <v>24</v>
      </c>
      <c r="C6" s="23" t="s">
        <v>190</v>
      </c>
      <c r="D6" s="10" t="s">
        <v>199</v>
      </c>
      <c r="E6" s="28" t="s">
        <v>200</v>
      </c>
      <c r="F6" s="10">
        <v>58621</v>
      </c>
      <c r="G6" t="str">
        <f t="shared" si="0"/>
        <v>INSERT INTO PRODOTTI_GAS (NOME_COMMERCIALE,COMPOSIZIONE,FAMIGLIA_PRODOTTO,COD_PRODOTTO,DESCRIZIONE_PRODOTTO,COD_SAP,ID_UTENTE_INS) VALUES ('ARCAL 1','Ar','Argon','I2010L40S2A001','ARCAL 1 BB-L SMARTOP 40/200','58621',(SELECT ID_UTENTE FROM UTENTI WHERE USERNAME='armando.canto@airliquide.com'));</v>
      </c>
    </row>
    <row r="7" spans="1:7" x14ac:dyDescent="0.2">
      <c r="A7" t="s">
        <v>133</v>
      </c>
      <c r="B7" s="23" t="s">
        <v>24</v>
      </c>
      <c r="C7" s="23" t="s">
        <v>190</v>
      </c>
      <c r="D7" s="10" t="s">
        <v>202</v>
      </c>
      <c r="E7" s="28" t="s">
        <v>203</v>
      </c>
      <c r="F7" s="10">
        <v>58621</v>
      </c>
      <c r="G7" t="str">
        <f t="shared" si="0"/>
        <v>INSERT INTO PRODOTTI_GAS (NOME_COMMERCIALE,COMPOSIZIONE,FAMIGLIA_PRODOTTO,COD_PRODOTTO,DESCRIZIONE_PRODOTTO,COD_SAP,ID_UTENTE_INS) VALUES ('ARCAL 1','Ar','Argon','I2010L50S2A001','ARCAL 1 BB-L SMARTOP 50/200','58621',(SELECT ID_UTENTE FROM UTENTI WHERE USERNAME='armando.canto@airliquide.com'));</v>
      </c>
    </row>
    <row r="8" spans="1:7" x14ac:dyDescent="0.2">
      <c r="A8" t="s">
        <v>133</v>
      </c>
      <c r="B8" s="23" t="s">
        <v>24</v>
      </c>
      <c r="C8" s="23" t="s">
        <v>190</v>
      </c>
      <c r="D8" s="10" t="s">
        <v>204</v>
      </c>
      <c r="E8" s="28" t="s">
        <v>205</v>
      </c>
      <c r="F8" s="10">
        <v>48862</v>
      </c>
      <c r="G8" t="str">
        <f t="shared" si="0"/>
        <v>INSERT INTO PRODOTTI_GAS (NOME_COMMERCIALE,COMPOSIZIONE,FAMIGLIA_PRODOTTO,COD_PRODOTTO,DESCRIZIONE_PRODOTTO,COD_SAP,ID_UTENTE_INS) VALUES ('ARCAL 1','Ar','Argon','I2010V16Z2A001','ARCAL 1 PP-L V16*40/200','48862',(SELECT ID_UTENTE FROM UTENTI WHERE USERNAME='armando.canto@airliquide.com'));</v>
      </c>
    </row>
    <row r="9" spans="1:7" x14ac:dyDescent="0.2">
      <c r="A9" t="s">
        <v>133</v>
      </c>
      <c r="B9" s="23" t="s">
        <v>24</v>
      </c>
      <c r="C9" s="23" t="s">
        <v>190</v>
      </c>
      <c r="D9" s="10" t="s">
        <v>206</v>
      </c>
      <c r="E9" s="28" t="s">
        <v>207</v>
      </c>
      <c r="F9" s="10">
        <v>48862</v>
      </c>
      <c r="G9" t="str">
        <f t="shared" si="0"/>
        <v>INSERT INTO PRODOTTI_GAS (NOME_COMMERCIALE,COMPOSIZIONE,FAMIGLIA_PRODOTTO,COD_PRODOTTO,DESCRIZIONE_PRODOTTO,COD_SAP,ID_UTENTE_INS) VALUES ('ARCAL 1','Ar','Argon','I2010V16R2A001','ARCAL 1 PP-L V16*50/200','48862',(SELECT ID_UTENTE FROM UTENTI WHERE USERNAME='armando.canto@airliquide.com'));</v>
      </c>
    </row>
    <row r="10" spans="1:7" x14ac:dyDescent="0.2">
      <c r="A10" t="s">
        <v>133</v>
      </c>
      <c r="B10" s="23" t="s">
        <v>24</v>
      </c>
      <c r="C10" s="23" t="s">
        <v>190</v>
      </c>
      <c r="D10" s="10" t="s">
        <v>208</v>
      </c>
      <c r="E10" s="28" t="s">
        <v>209</v>
      </c>
      <c r="F10" s="10">
        <v>48862</v>
      </c>
      <c r="G10" t="str">
        <f t="shared" si="0"/>
        <v>INSERT INTO PRODOTTI_GAS (NOME_COMMERCIALE,COMPOSIZIONE,FAMIGLIA_PRODOTTO,COD_PRODOTTO,DESCRIZIONE_PRODOTTO,COD_SAP,ID_UTENTE_INS) VALUES ('ARCAL 1','Ar','Argon','I2010V12R2A001','ARCAL 1 PP-M V12*50/200','48862',(SELECT ID_UTENTE FROM UTENTI WHERE USERNAME='armando.canto@airliquide.com'));</v>
      </c>
    </row>
    <row r="11" spans="1:7" x14ac:dyDescent="0.2">
      <c r="A11" t="s">
        <v>156</v>
      </c>
      <c r="B11" s="23" t="s">
        <v>350</v>
      </c>
      <c r="C11" s="23" t="s">
        <v>287</v>
      </c>
      <c r="D11" s="10" t="s">
        <v>288</v>
      </c>
      <c r="E11" s="10" t="s">
        <v>289</v>
      </c>
      <c r="F11" s="10">
        <v>58617</v>
      </c>
      <c r="G11" t="str">
        <f t="shared" si="0"/>
        <v>INSERT INTO PRODOTTI_GAS (NOME_COMMERCIALE,COMPOSIZIONE,FAMIGLIA_PRODOTTO,COD_PRODOTTO,DESCRIZIONE_PRODOTTO,COD_SAP,ID_UTENTE_INS) VALUES ('ARCAL 21','CO2, Ar','Mix Argon','I2560L40A2A001','ARCAL 21 BB-L ALTOP 40/200','58617',(SELECT ID_UTENTE FROM UTENTI WHERE USERNAME='armando.canto@airliquide.com'));</v>
      </c>
    </row>
    <row r="12" spans="1:7" x14ac:dyDescent="0.2">
      <c r="A12" t="s">
        <v>156</v>
      </c>
      <c r="B12" s="23" t="s">
        <v>350</v>
      </c>
      <c r="C12" s="23" t="s">
        <v>287</v>
      </c>
      <c r="D12" s="10" t="s">
        <v>290</v>
      </c>
      <c r="E12" s="10" t="s">
        <v>291</v>
      </c>
      <c r="F12" s="10">
        <v>58617</v>
      </c>
      <c r="G12" t="str">
        <f t="shared" si="0"/>
        <v>INSERT INTO PRODOTTI_GAS (NOME_COMMERCIALE,COMPOSIZIONE,FAMIGLIA_PRODOTTO,COD_PRODOTTO,DESCRIZIONE_PRODOTTO,COD_SAP,ID_UTENTE_INS) VALUES ('ARCAL 21','CO2, Ar','Mix Argon','I2560L50A2A001','ARCAL 21 BB-L ALTOP 50/200','58617',(SELECT ID_UTENTE FROM UTENTI WHERE USERNAME='armando.canto@airliquide.com'));</v>
      </c>
    </row>
    <row r="13" spans="1:7" x14ac:dyDescent="0.2">
      <c r="A13" t="s">
        <v>156</v>
      </c>
      <c r="B13" s="23" t="s">
        <v>350</v>
      </c>
      <c r="C13" s="23" t="s">
        <v>287</v>
      </c>
      <c r="D13" s="10" t="s">
        <v>292</v>
      </c>
      <c r="E13" s="10" t="s">
        <v>293</v>
      </c>
      <c r="F13" s="10">
        <v>58617</v>
      </c>
      <c r="G13" t="str">
        <f t="shared" si="0"/>
        <v>INSERT INTO PRODOTTI_GAS (NOME_COMMERCIALE,COMPOSIZIONE,FAMIGLIA_PRODOTTO,COD_PRODOTTO,DESCRIZIONE_PRODOTTO,COD_SAP,ID_UTENTE_INS) VALUES ('ARCAL 21','CO2, Ar','Mix Argon','I2560L40R2A001','ARCAL 21 BB-L REG 40/200','58617',(SELECT ID_UTENTE FROM UTENTI WHERE USERNAME='armando.canto@airliquide.com'));</v>
      </c>
    </row>
    <row r="14" spans="1:7" x14ac:dyDescent="0.2">
      <c r="A14" t="s">
        <v>156</v>
      </c>
      <c r="B14" s="23" t="s">
        <v>350</v>
      </c>
      <c r="C14" s="23" t="s">
        <v>287</v>
      </c>
      <c r="D14" s="10" t="s">
        <v>294</v>
      </c>
      <c r="E14" s="10" t="s">
        <v>295</v>
      </c>
      <c r="F14" s="10">
        <v>58617</v>
      </c>
      <c r="G14" t="str">
        <f t="shared" si="0"/>
        <v>INSERT INTO PRODOTTI_GAS (NOME_COMMERCIALE,COMPOSIZIONE,FAMIGLIA_PRODOTTO,COD_PRODOTTO,DESCRIZIONE_PRODOTTO,COD_SAP,ID_UTENTE_INS) VALUES ('ARCAL 21','CO2, Ar','Mix Argon','I2560L50R2A001','ARCAL 21 BB-L REG 50/200','58617',(SELECT ID_UTENTE FROM UTENTI WHERE USERNAME='armando.canto@airliquide.com'));</v>
      </c>
    </row>
    <row r="15" spans="1:7" x14ac:dyDescent="0.2">
      <c r="A15" t="s">
        <v>156</v>
      </c>
      <c r="B15" s="23" t="s">
        <v>350</v>
      </c>
      <c r="C15" s="23" t="s">
        <v>287</v>
      </c>
      <c r="D15" s="10" t="s">
        <v>296</v>
      </c>
      <c r="E15" s="10" t="s">
        <v>297</v>
      </c>
      <c r="F15" s="10">
        <v>58617</v>
      </c>
      <c r="G15" t="str">
        <f t="shared" si="0"/>
        <v>INSERT INTO PRODOTTI_GAS (NOME_COMMERCIALE,COMPOSIZIONE,FAMIGLIA_PRODOTTO,COD_PRODOTTO,DESCRIZIONE_PRODOTTO,COD_SAP,ID_UTENTE_INS) VALUES ('ARCAL 21','CO2, Ar','Mix Argon','I2560L40S2A001','ARCAL 21 BB-L SMARTOP 40/200','58617',(SELECT ID_UTENTE FROM UTENTI WHERE USERNAME='armando.canto@airliquide.com'));</v>
      </c>
    </row>
    <row r="16" spans="1:7" x14ac:dyDescent="0.2">
      <c r="A16" t="s">
        <v>156</v>
      </c>
      <c r="B16" s="23" t="s">
        <v>350</v>
      </c>
      <c r="C16" s="23" t="s">
        <v>287</v>
      </c>
      <c r="D16" s="10" t="s">
        <v>298</v>
      </c>
      <c r="E16" s="10" t="s">
        <v>299</v>
      </c>
      <c r="F16" s="10">
        <v>58617</v>
      </c>
      <c r="G16" t="str">
        <f t="shared" si="0"/>
        <v>INSERT INTO PRODOTTI_GAS (NOME_COMMERCIALE,COMPOSIZIONE,FAMIGLIA_PRODOTTO,COD_PRODOTTO,DESCRIZIONE_PRODOTTO,COD_SAP,ID_UTENTE_INS) VALUES ('ARCAL 21','CO2, Ar','Mix Argon','I2560L50S2A001','ARCAL 21 BB-L SMARTOP 50/200','58617',(SELECT ID_UTENTE FROM UTENTI WHERE USERNAME='armando.canto@airliquide.com'));</v>
      </c>
    </row>
    <row r="17" spans="1:7" x14ac:dyDescent="0.2">
      <c r="A17" t="s">
        <v>156</v>
      </c>
      <c r="B17" s="23" t="s">
        <v>350</v>
      </c>
      <c r="C17" s="23" t="s">
        <v>287</v>
      </c>
      <c r="D17" s="10" t="s">
        <v>300</v>
      </c>
      <c r="E17" s="10" t="s">
        <v>301</v>
      </c>
      <c r="F17" s="10">
        <v>46860</v>
      </c>
      <c r="G17" t="str">
        <f t="shared" si="0"/>
        <v>INSERT INTO PRODOTTI_GAS (NOME_COMMERCIALE,COMPOSIZIONE,FAMIGLIA_PRODOTTO,COD_PRODOTTO,DESCRIZIONE_PRODOTTO,COD_SAP,ID_UTENTE_INS) VALUES ('ARCAL 21','CO2, Ar','Mix Argon','I2560V16Z2A001','ARCAL 21 PP-L V16*40/200','46860',(SELECT ID_UTENTE FROM UTENTI WHERE USERNAME='armando.canto@airliquide.com'));</v>
      </c>
    </row>
    <row r="18" spans="1:7" x14ac:dyDescent="0.2">
      <c r="A18" t="s">
        <v>156</v>
      </c>
      <c r="B18" s="23" t="s">
        <v>350</v>
      </c>
      <c r="C18" s="23" t="s">
        <v>287</v>
      </c>
      <c r="D18" s="10" t="s">
        <v>302</v>
      </c>
      <c r="E18" s="10" t="s">
        <v>303</v>
      </c>
      <c r="F18" s="10">
        <v>46860</v>
      </c>
      <c r="G18" t="str">
        <f t="shared" si="0"/>
        <v>INSERT INTO PRODOTTI_GAS (NOME_COMMERCIALE,COMPOSIZIONE,FAMIGLIA_PRODOTTO,COD_PRODOTTO,DESCRIZIONE_PRODOTTO,COD_SAP,ID_UTENTE_INS) VALUES ('ARCAL 21','CO2, Ar','Mix Argon','I2560V16R2A001','ARCAL 21 PP-L V16*50/200','46860',(SELECT ID_UTENTE FROM UTENTI WHERE USERNAME='armando.canto@airliquide.com'));</v>
      </c>
    </row>
    <row r="19" spans="1:7" x14ac:dyDescent="0.2">
      <c r="A19" t="s">
        <v>156</v>
      </c>
      <c r="B19" s="23" t="s">
        <v>350</v>
      </c>
      <c r="C19" s="23" t="s">
        <v>287</v>
      </c>
      <c r="D19" s="10" t="s">
        <v>304</v>
      </c>
      <c r="E19" s="10" t="s">
        <v>305</v>
      </c>
      <c r="F19" s="10">
        <v>46860</v>
      </c>
      <c r="G19" t="str">
        <f t="shared" si="0"/>
        <v>INSERT INTO PRODOTTI_GAS (NOME_COMMERCIALE,COMPOSIZIONE,FAMIGLIA_PRODOTTO,COD_PRODOTTO,DESCRIZIONE_PRODOTTO,COD_SAP,ID_UTENTE_INS) VALUES ('ARCAL 21','CO2, Ar','Mix Argon','I2560V12R2A001','ARCAL 21 PP-M V12*50/200','46860',(SELECT ID_UTENTE FROM UTENTI WHERE USERNAME='armando.canto@airliquide.com'));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42"/>
  <sheetViews>
    <sheetView tabSelected="1" workbookViewId="0">
      <selection activeCell="G3" sqref="G3:G42"/>
    </sheetView>
  </sheetViews>
  <sheetFormatPr defaultRowHeight="12.75" x14ac:dyDescent="0.2"/>
  <cols>
    <col min="1" max="2" width="9.140625" style="53"/>
    <col min="3" max="3" width="16.85546875" bestFit="1" customWidth="1"/>
    <col min="4" max="4" width="29.28515625" bestFit="1" customWidth="1"/>
    <col min="5" max="5" width="28" bestFit="1" customWidth="1"/>
    <col min="6" max="6" width="7" bestFit="1" customWidth="1"/>
    <col min="7" max="7" width="75.140625" style="58" customWidth="1"/>
  </cols>
  <sheetData>
    <row r="1" spans="1:8" s="58" customFormat="1" x14ac:dyDescent="0.2"/>
    <row r="2" spans="1:8" hidden="1" x14ac:dyDescent="0.2">
      <c r="A2" s="53" t="s">
        <v>479</v>
      </c>
      <c r="B2" s="53">
        <v>1</v>
      </c>
      <c r="C2" s="15" t="s">
        <v>223</v>
      </c>
      <c r="D2" s="10" t="s">
        <v>224</v>
      </c>
      <c r="E2" s="24" t="s">
        <v>480</v>
      </c>
      <c r="F2" s="34"/>
      <c r="G2" s="70"/>
      <c r="H2" s="54" t="str">
        <f>CONCATENATE("insert into ALLESTIMENTI (codice_allestimento,ordine, caratteristica,  fl_materiale,id_utente_ins)  values ('",A2,"',",B2,",'",C2,"',",E2,",(SELECT ID_UTENTE FROM UTENTI WHERE USERNAME='armando.canto@airliquide.com'));")</f>
        <v>insert into ALLESTIMENTI (codice_allestimento,ordine, caratteristica,  fl_materiale,id_utente_ins)  values ('REG',1,'Taglia autorizzata',false,(SELECT ID_UTENTE FROM UTENTI WHERE USERNAME='armando.canto@airliquide.com'));</v>
      </c>
    </row>
    <row r="3" spans="1:8" x14ac:dyDescent="0.2">
      <c r="A3" s="53" t="s">
        <v>479</v>
      </c>
      <c r="B3" s="53">
        <v>3</v>
      </c>
      <c r="C3" s="56" t="s">
        <v>227</v>
      </c>
      <c r="D3" s="15" t="s">
        <v>228</v>
      </c>
      <c r="E3" t="s">
        <v>481</v>
      </c>
      <c r="F3" s="38">
        <v>21163</v>
      </c>
      <c r="G3" s="71" t="str">
        <f>CONCATENATE("insert into materiali (descrizione,codice_sap) values ('",D3,"','",F3,"');")</f>
        <v>insert into materiali (descrizione,codice_sap) values ('Tipo EXAL - Blu RAL 5015','21163');</v>
      </c>
      <c r="H3" s="54" t="str">
        <f>CONCATENATE("insert into ALLESTIMENTI (codice_allestimento,ordine, caratteristica,  fl_materiale,id_utente_ins)  values ('",A3,"',",B3,",'",C3,"',",E3,",(SELECT ID_UTENTE FROM UTENTI WHERE USERNAME='armando.canto@airliquide.com'));")</f>
        <v>insert into ALLESTIMENTI (codice_allestimento,ordine, caratteristica,  fl_materiale,id_utente_ins)  values ('REG',3,'Cappellotto',true,(SELECT ID_UTENTE FROM UTENTI WHERE USERNAME='armando.canto@airliquide.com'));</v>
      </c>
    </row>
    <row r="4" spans="1:8" x14ac:dyDescent="0.2">
      <c r="A4" s="53" t="s">
        <v>482</v>
      </c>
      <c r="B4" s="53">
        <v>3</v>
      </c>
      <c r="C4" s="56" t="s">
        <v>227</v>
      </c>
      <c r="D4" s="15" t="s">
        <v>243</v>
      </c>
      <c r="E4" s="68" t="s">
        <v>481</v>
      </c>
      <c r="F4" s="38">
        <v>21163</v>
      </c>
      <c r="G4" s="71"/>
      <c r="H4" s="54" t="str">
        <f>CONCATENATE("insert into ALLESTIMENTI (codice_allestimento,ordine, caratteristica,  fl_materiale,id_utente_ins)  values ('",A4,"',",B4,",'",C4,"',",E4,",(SELECT ID_UTENTE FROM UTENTI WHERE USERNAME='armando.canto@airliquide.com'));")</f>
        <v>insert into ALLESTIMENTI (codice_allestimento,ordine, caratteristica,  fl_materiale,id_utente_ins)  values ('SMA',3,'Cappellotto',true,(SELECT ID_UTENTE FROM UTENTI WHERE USERNAME='armando.canto@airliquide.com'));</v>
      </c>
    </row>
    <row r="5" spans="1:8" x14ac:dyDescent="0.2">
      <c r="A5" s="53" t="s">
        <v>483</v>
      </c>
      <c r="B5" s="53">
        <v>6</v>
      </c>
      <c r="C5" s="65" t="s">
        <v>232</v>
      </c>
      <c r="D5" s="15" t="s">
        <v>255</v>
      </c>
      <c r="E5" s="68" t="s">
        <v>481</v>
      </c>
      <c r="F5" s="38">
        <v>22569</v>
      </c>
      <c r="G5" s="71" t="str">
        <f t="shared" ref="G4:G5" si="0">CONCATENATE("insert into materiali (descrizione,codice_sap) values ('",D5,"','",F5,"');")</f>
        <v>insert into materiali (descrizione,codice_sap) values ('Su leva riempimento','22569');</v>
      </c>
      <c r="H5" s="54" t="str">
        <f>CONCATENATE("insert into ALLESTIMENTI (codice_allestimento,ordine, caratteristica,  fl_materiale,id_utente_ins)  values ('",A5,"',",B5,",'",C5,"',",E5,",(SELECT ID_UTENTE FROM UTENTI WHERE USERNAME='armando.canto@airliquide.com'));")</f>
        <v>insert into ALLESTIMENTI (codice_allestimento,ordine, caratteristica,  fl_materiale,id_utente_ins)  values ('ALT',6,'Sigillo riempimento',true,(SELECT ID_UTENTE FROM UTENTI WHERE USERNAME='armando.canto@airliquide.com'));</v>
      </c>
    </row>
    <row r="6" spans="1:8" hidden="1" x14ac:dyDescent="0.2">
      <c r="A6" s="53" t="s">
        <v>479</v>
      </c>
      <c r="B6" s="53">
        <v>5</v>
      </c>
      <c r="C6" s="15" t="s">
        <v>230</v>
      </c>
      <c r="D6" s="15" t="s">
        <v>231</v>
      </c>
      <c r="E6" s="34" t="s">
        <v>480</v>
      </c>
      <c r="F6" s="34"/>
      <c r="G6" s="70"/>
      <c r="H6" s="54" t="str">
        <f>CONCATENATE("insert into ALLESTIMENTI (codice_allestimento,ordine, caratteristica,  fl_materiale,id_utente_ins)  values ('",A6,"',",B6,",'",C6,"',",E6,",(SELECT ID_UTENTE FROM UTENTI WHERE USERNAME='armando.canto@airliquide.com'));")</f>
        <v>insert into ALLESTIMENTI (codice_allestimento,ordine, caratteristica,  fl_materiale,id_utente_ins)  values ('REG',5,'Termoretraibile',false,(SELECT ID_UTENTE FROM UTENTI WHERE USERNAME='armando.canto@airliquide.com'));</v>
      </c>
    </row>
    <row r="7" spans="1:8" x14ac:dyDescent="0.2">
      <c r="A7" s="53" t="s">
        <v>483</v>
      </c>
      <c r="B7" s="53">
        <v>4</v>
      </c>
      <c r="C7" s="37" t="s">
        <v>251</v>
      </c>
      <c r="D7" s="15" t="s">
        <v>252</v>
      </c>
      <c r="E7" s="68" t="s">
        <v>481</v>
      </c>
      <c r="F7" s="38">
        <v>45328</v>
      </c>
      <c r="G7" s="71" t="str">
        <f>CONCATENATE("insert into materiali (descrizione,codice_sap) values ('",D7,"','",F7,"');")</f>
        <v>insert into materiali (descrizione,codice_sap) values ('Fissaggio cappellotto 2X','45328');</v>
      </c>
      <c r="H7" s="54" t="str">
        <f>CONCATENATE("insert into ALLESTIMENTI (codice_allestimento,ordine, caratteristica,  fl_materiale,id_utente_ins)  values ('",A7,"',",B7,",'",C7,"',",E7,",(SELECT ID_UTENTE FROM UTENTI WHERE USERNAME='armando.canto@airliquide.com'));")</f>
        <v>insert into ALLESTIMENTI (codice_allestimento,ordine, caratteristica,  fl_materiale,id_utente_ins)  values ('ALT',4,'Grani a punta',true,(SELECT ID_UTENTE FROM UTENTI WHERE USERNAME='armando.canto@airliquide.com'));</v>
      </c>
    </row>
    <row r="8" spans="1:8" hidden="1" x14ac:dyDescent="0.2">
      <c r="A8" s="53" t="s">
        <v>479</v>
      </c>
      <c r="B8" s="53">
        <v>7</v>
      </c>
      <c r="C8" s="15" t="s">
        <v>234</v>
      </c>
      <c r="D8" s="15" t="s">
        <v>231</v>
      </c>
      <c r="E8" s="34" t="s">
        <v>480</v>
      </c>
      <c r="F8" s="34"/>
      <c r="G8" s="70"/>
      <c r="H8" s="54" t="str">
        <f>CONCATENATE("insert into ALLESTIMENTI (codice_allestimento,ordine, caratteristica,  fl_materiale,id_utente_ins)  values ('",A8,"',",B8,",'",C8,"',",E8,",(SELECT ID_UTENTE FROM UTENTI WHERE USERNAME='armando.canto@airliquide.com'));")</f>
        <v>insert into ALLESTIMENTI (codice_allestimento,ordine, caratteristica,  fl_materiale,id_utente_ins)  values ('REG',7,'Cartellino',false,(SELECT ID_UTENTE FROM UTENTI WHERE USERNAME='armando.canto@airliquide.com'));</v>
      </c>
    </row>
    <row r="9" spans="1:8" hidden="1" x14ac:dyDescent="0.2">
      <c r="A9" s="53" t="s">
        <v>479</v>
      </c>
      <c r="B9" s="53">
        <v>8</v>
      </c>
      <c r="C9" s="15" t="s">
        <v>235</v>
      </c>
      <c r="D9" s="15" t="s">
        <v>236</v>
      </c>
      <c r="E9" s="34" t="s">
        <v>480</v>
      </c>
      <c r="F9" s="34"/>
      <c r="G9" s="70"/>
      <c r="H9" s="54" t="str">
        <f>CONCATENATE("insert into ALLESTIMENTI (codice_allestimento,ordine, caratteristica,  fl_materiale,id_utente_ins)  values ('",A9,"',",B9,",'",C9,"',",E9,",(SELECT ID_UTENTE FROM UTENTI WHERE USERNAME='armando.canto@airliquide.com'));")</f>
        <v>insert into ALLESTIMENTI (codice_allestimento,ordine, caratteristica,  fl_materiale,id_utente_ins)  values ('REG',8,'Barcode',false,(SELECT ID_UTENTE FROM UTENTI WHERE USERNAME='armando.canto@airliquide.com'));</v>
      </c>
    </row>
    <row r="10" spans="1:8" x14ac:dyDescent="0.2">
      <c r="A10" s="53" t="s">
        <v>483</v>
      </c>
      <c r="B10" s="53">
        <v>5</v>
      </c>
      <c r="C10" s="15" t="s">
        <v>253</v>
      </c>
      <c r="D10" s="15" t="s">
        <v>254</v>
      </c>
      <c r="E10" s="38" t="s">
        <v>481</v>
      </c>
      <c r="F10" s="38">
        <v>45329</v>
      </c>
      <c r="G10" s="71" t="str">
        <f>CONCATENATE("insert into materiali (descrizione,codice_sap) values ('",D10,"','",F10,"');")</f>
        <v>insert into materiali (descrizione,codice_sap) values ('Fissaggio coperchio cappellotto','45329');</v>
      </c>
      <c r="H10" s="54" t="str">
        <f>CONCATENATE("insert into ALLESTIMENTI (codice_allestimento,ordine, caratteristica,  fl_materiale,id_utente_ins)  values ('",A10,"',",B10,",'",C10,"',",E10,",(SELECT ID_UTENTE FROM UTENTI WHERE USERNAME='armando.canto@airliquide.com'));")</f>
        <v>insert into ALLESTIMENTI (codice_allestimento,ordine, caratteristica,  fl_materiale,id_utente_ins)  values ('ALT',5,'Viti in plastica',true,(SELECT ID_UTENTE FROM UTENTI WHERE USERNAME='armando.canto@airliquide.com'));</v>
      </c>
    </row>
    <row r="11" spans="1:8" hidden="1" x14ac:dyDescent="0.2">
      <c r="A11" s="53" t="s">
        <v>482</v>
      </c>
      <c r="B11" s="53">
        <v>1</v>
      </c>
      <c r="C11" s="15" t="s">
        <v>223</v>
      </c>
      <c r="D11" s="15" t="s">
        <v>241</v>
      </c>
      <c r="E11" s="34" t="s">
        <v>480</v>
      </c>
      <c r="F11" s="34"/>
      <c r="G11" s="70"/>
      <c r="H11" s="54" t="str">
        <f>CONCATENATE("insert into ALLESTIMENTI (codice_allestimento,ordine, caratteristica,  fl_materiale,id_utente_ins)  values ('",A11,"',",B11,",'",C11,"',",E11,",(SELECT ID_UTENTE FROM UTENTI WHERE USERNAME='armando.canto@airliquide.com'));")</f>
        <v>insert into ALLESTIMENTI (codice_allestimento,ordine, caratteristica,  fl_materiale,id_utente_ins)  values ('SMA',1,'Taglia autorizzata',false,(SELECT ID_UTENTE FROM UTENTI WHERE USERNAME='armando.canto@airliquide.com'));</v>
      </c>
    </row>
    <row r="12" spans="1:8" x14ac:dyDescent="0.2">
      <c r="A12" s="53" t="s">
        <v>479</v>
      </c>
      <c r="B12" s="53">
        <v>2</v>
      </c>
      <c r="C12" s="52" t="s">
        <v>225</v>
      </c>
      <c r="D12" s="15" t="s">
        <v>226</v>
      </c>
      <c r="E12" s="69" t="s">
        <v>481</v>
      </c>
      <c r="F12" s="38">
        <v>45514</v>
      </c>
      <c r="G12" s="71" t="str">
        <f t="shared" ref="G12:G14" si="1">CONCATENATE("insert into materiali (descrizione,codice_sap) values ('",D12,"','",F12,"');")</f>
        <v>insert into materiali (descrizione,codice_sap) values ('Tipo ARGON RPV non cromato','45514');</v>
      </c>
      <c r="H12" s="54" t="str">
        <f>CONCATENATE("insert into ALLESTIMENTI (codice_allestimento,ordine, caratteristica,  fl_materiale,id_utente_ins)  values ('",A12,"',",B12,",'",C12,"',",E12,",(SELECT ID_UTENTE FROM UTENTI WHERE USERNAME='armando.canto@airliquide.com'));")</f>
        <v>insert into ALLESTIMENTI (codice_allestimento,ordine, caratteristica,  fl_materiale,id_utente_ins)  values ('REG',2,'Valvola',true,(SELECT ID_UTENTE FROM UTENTI WHERE USERNAME='armando.canto@airliquide.com'));</v>
      </c>
    </row>
    <row r="13" spans="1:8" x14ac:dyDescent="0.2">
      <c r="A13" s="53" t="s">
        <v>483</v>
      </c>
      <c r="B13" s="53">
        <v>2</v>
      </c>
      <c r="C13" s="57" t="s">
        <v>225</v>
      </c>
      <c r="D13" s="15" t="s">
        <v>249</v>
      </c>
      <c r="E13" s="38" t="s">
        <v>481</v>
      </c>
      <c r="F13" s="38">
        <v>45525</v>
      </c>
      <c r="G13" s="71" t="str">
        <f t="shared" si="1"/>
        <v>insert into materiali (descrizione,codice_sap) values ('Tipo ALTOP ARGON','45525');</v>
      </c>
      <c r="H13" s="54" t="str">
        <f>CONCATENATE("insert into ALLESTIMENTI (codice_allestimento,ordine, caratteristica,  fl_materiale,id_utente_ins)  values ('",A13,"',",B13,",'",C13,"',",E13,",(SELECT ID_UTENTE FROM UTENTI WHERE USERNAME='armando.canto@airliquide.com'));")</f>
        <v>insert into ALLESTIMENTI (codice_allestimento,ordine, caratteristica,  fl_materiale,id_utente_ins)  values ('ALT',2,'Valvola',true,(SELECT ID_UTENTE FROM UTENTI WHERE USERNAME='armando.canto@airliquide.com'));</v>
      </c>
    </row>
    <row r="14" spans="1:8" x14ac:dyDescent="0.2">
      <c r="A14" s="53" t="s">
        <v>478</v>
      </c>
      <c r="B14" s="53">
        <v>2</v>
      </c>
      <c r="C14" s="57" t="s">
        <v>225</v>
      </c>
      <c r="D14" s="15" t="s">
        <v>262</v>
      </c>
      <c r="E14" s="38" t="s">
        <v>481</v>
      </c>
      <c r="F14" s="38">
        <v>45548</v>
      </c>
      <c r="G14" s="71" t="str">
        <f t="shared" si="1"/>
        <v>insert into materiali (descrizione,codice_sap) values ('Argon per pacchi','45548');</v>
      </c>
      <c r="H14" s="54" t="str">
        <f>CONCATENATE("insert into ALLESTIMENTI (codice_allestimento,ordine, caratteristica,  fl_materiale,id_utente_ins)  values ('",A14,"',",B14,",'",C14,"',",E14,",(SELECT ID_UTENTE FROM UTENTI WHERE USERNAME='armando.canto@airliquide.com'));")</f>
        <v>insert into ALLESTIMENTI (codice_allestimento,ordine, caratteristica,  fl_materiale,id_utente_ins)  values ('PAC',2,'Valvola',true,(SELECT ID_UTENTE FROM UTENTI WHERE USERNAME='armando.canto@airliquide.com'));</v>
      </c>
    </row>
    <row r="15" spans="1:8" hidden="1" x14ac:dyDescent="0.2">
      <c r="A15" s="53" t="s">
        <v>482</v>
      </c>
      <c r="B15" s="53">
        <v>5</v>
      </c>
      <c r="C15" s="15" t="s">
        <v>230</v>
      </c>
      <c r="D15" s="15" t="s">
        <v>231</v>
      </c>
      <c r="E15" s="34" t="s">
        <v>480</v>
      </c>
      <c r="F15" s="34"/>
      <c r="G15" s="70"/>
      <c r="H15" s="54" t="str">
        <f>CONCATENATE("insert into ALLESTIMENTI (codice_allestimento,ordine, caratteristica,  fl_materiale,id_utente_ins)  values ('",A15,"',",B15,",'",C15,"',",E15,",(SELECT ID_UTENTE FROM UTENTI WHERE USERNAME='armando.canto@airliquide.com'));")</f>
        <v>insert into ALLESTIMENTI (codice_allestimento,ordine, caratteristica,  fl_materiale,id_utente_ins)  values ('SMA',5,'Termoretraibile',false,(SELECT ID_UTENTE FROM UTENTI WHERE USERNAME='armando.canto@airliquide.com'));</v>
      </c>
    </row>
    <row r="16" spans="1:8" x14ac:dyDescent="0.2">
      <c r="A16" s="53" t="s">
        <v>483</v>
      </c>
      <c r="B16" s="53">
        <v>10</v>
      </c>
      <c r="C16" s="15" t="s">
        <v>256</v>
      </c>
      <c r="D16" s="15" t="s">
        <v>257</v>
      </c>
      <c r="E16" s="38" t="s">
        <v>481</v>
      </c>
      <c r="F16" s="38">
        <v>46939</v>
      </c>
      <c r="G16" s="71" t="str">
        <f>CONCATENATE("insert into materiali (descrizione,codice_sap) values ('",D16,"','",F16,"');")</f>
        <v>insert into materiali (descrizione,codice_sap) values ('Su cappellotto','46939');</v>
      </c>
      <c r="H16" s="54" t="str">
        <f>CONCATENATE("insert into ALLESTIMENTI (codice_allestimento,ordine, caratteristica,  fl_materiale,id_utente_ins)  values ('",A16,"',",B16,",'",C16,"',",E16,",(SELECT ID_UTENTE FROM UTENTI WHERE USERNAME='armando.canto@airliquide.com'));")</f>
        <v>insert into ALLESTIMENTI (codice_allestimento,ordine, caratteristica,  fl_materiale,id_utente_ins)  values ('ALT',10,'Adesivo Avvertenza',true,(SELECT ID_UTENTE FROM UTENTI WHERE USERNAME='armando.canto@airliquide.com'));</v>
      </c>
    </row>
    <row r="17" spans="1:9" hidden="1" x14ac:dyDescent="0.2">
      <c r="A17" s="53" t="s">
        <v>482</v>
      </c>
      <c r="B17" s="53">
        <v>7</v>
      </c>
      <c r="C17" s="15" t="s">
        <v>234</v>
      </c>
      <c r="D17" s="15" t="s">
        <v>231</v>
      </c>
      <c r="E17" s="34" t="s">
        <v>480</v>
      </c>
      <c r="F17" s="34"/>
      <c r="G17" s="70"/>
      <c r="H17" s="54" t="str">
        <f>CONCATENATE("insert into ALLESTIMENTI (codice_allestimento,ordine, caratteristica,  fl_materiale,id_utente_ins)  values ('",A17,"',",B17,",'",C17,"',",E17,",(SELECT ID_UTENTE FROM UTENTI WHERE USERNAME='armando.canto@airliquide.com'));")</f>
        <v>insert into ALLESTIMENTI (codice_allestimento,ordine, caratteristica,  fl_materiale,id_utente_ins)  values ('SMA',7,'Cartellino',false,(SELECT ID_UTENTE FROM UTENTI WHERE USERNAME='armando.canto@airliquide.com'));</v>
      </c>
      <c r="I17" s="55"/>
    </row>
    <row r="18" spans="1:9" hidden="1" x14ac:dyDescent="0.2">
      <c r="A18" s="53" t="s">
        <v>482</v>
      </c>
      <c r="B18" s="53">
        <v>8</v>
      </c>
      <c r="C18" s="15" t="s">
        <v>235</v>
      </c>
      <c r="D18" s="15" t="s">
        <v>236</v>
      </c>
      <c r="E18" s="34" t="s">
        <v>480</v>
      </c>
      <c r="F18" s="34"/>
      <c r="G18" s="70"/>
      <c r="H18" s="54" t="str">
        <f>CONCATENATE("insert into ALLESTIMENTI (codice_allestimento,ordine, caratteristica,  fl_materiale,id_utente_ins)  values ('",A18,"',",B18,",'",C18,"',",E18,",(SELECT ID_UTENTE FROM UTENTI WHERE USERNAME='armando.canto@airliquide.com'));")</f>
        <v>insert into ALLESTIMENTI (codice_allestimento,ordine, caratteristica,  fl_materiale,id_utente_ins)  values ('SMA',8,'Barcode',false,(SELECT ID_UTENTE FROM UTENTI WHERE USERNAME='armando.canto@airliquide.com'));</v>
      </c>
    </row>
    <row r="19" spans="1:9" x14ac:dyDescent="0.2">
      <c r="A19" s="53" t="s">
        <v>483</v>
      </c>
      <c r="B19" s="53">
        <v>3</v>
      </c>
      <c r="C19" s="67" t="s">
        <v>227</v>
      </c>
      <c r="D19" s="15" t="s">
        <v>250</v>
      </c>
      <c r="E19" s="38" t="s">
        <v>481</v>
      </c>
      <c r="F19" s="38">
        <v>58429</v>
      </c>
      <c r="G19" s="71" t="str">
        <f t="shared" ref="G19:G20" si="2">CONCATENATE("insert into materiali (descrizione,codice_sap) values ('",D19,"','",F19,"');")</f>
        <v>insert into materiali (descrizione,codice_sap) values ('Tipo Altop - Blu RAL 5015','58429');</v>
      </c>
      <c r="H19" s="54" t="str">
        <f>CONCATENATE("insert into ALLESTIMENTI (codice_allestimento,ordine, caratteristica,  fl_materiale,id_utente_ins)  values ('",A19,"',",B19,",'",C19,"',",E19,",(SELECT ID_UTENTE FROM UTENTI WHERE USERNAME='armando.canto@airliquide.com'));")</f>
        <v>insert into ALLESTIMENTI (codice_allestimento,ordine, caratteristica,  fl_materiale,id_utente_ins)  values ('ALT',3,'Cappellotto',true,(SELECT ID_UTENTE FROM UTENTI WHERE USERNAME='armando.canto@airliquide.com'));</v>
      </c>
    </row>
    <row r="20" spans="1:9" x14ac:dyDescent="0.2">
      <c r="A20" s="53" t="s">
        <v>479</v>
      </c>
      <c r="B20" s="53">
        <v>6</v>
      </c>
      <c r="C20" s="15" t="s">
        <v>232</v>
      </c>
      <c r="D20" s="15" t="s">
        <v>233</v>
      </c>
      <c r="E20" s="69" t="s">
        <v>481</v>
      </c>
      <c r="F20" s="38">
        <v>58435</v>
      </c>
      <c r="G20" s="71" t="str">
        <f t="shared" si="2"/>
        <v>insert into materiali (descrizione,codice_sap) values ('Grigio, sulla valvola','58435');</v>
      </c>
      <c r="H20" s="54" t="str">
        <f>CONCATENATE("insert into ALLESTIMENTI (codice_allestimento,ordine, caratteristica,  fl_materiale,id_utente_ins)  values ('",A20,"',",B20,",'",C20,"',",E20,",(SELECT ID_UTENTE FROM UTENTI WHERE USERNAME='armando.canto@airliquide.com'));")</f>
        <v>insert into ALLESTIMENTI (codice_allestimento,ordine, caratteristica,  fl_materiale,id_utente_ins)  values ('REG',6,'Sigillo riempimento',true,(SELECT ID_UTENTE FROM UTENTI WHERE USERNAME='armando.canto@airliquide.com'));</v>
      </c>
    </row>
    <row r="21" spans="1:9" hidden="1" x14ac:dyDescent="0.2">
      <c r="A21" s="53" t="s">
        <v>483</v>
      </c>
      <c r="B21" s="53">
        <v>1</v>
      </c>
      <c r="C21" s="15" t="s">
        <v>223</v>
      </c>
      <c r="D21" s="15" t="s">
        <v>248</v>
      </c>
      <c r="E21" s="34" t="s">
        <v>480</v>
      </c>
      <c r="F21" s="34"/>
      <c r="G21" s="70"/>
      <c r="H21" s="54" t="str">
        <f>CONCATENATE("insert into ALLESTIMENTI (codice_allestimento,ordine, caratteristica,  fl_materiale,id_utente_ins)  values ('",A21,"',",B21,",'",C21,"',",E21,",(SELECT ID_UTENTE FROM UTENTI WHERE USERNAME='armando.canto@airliquide.com'));")</f>
        <v>insert into ALLESTIMENTI (codice_allestimento,ordine, caratteristica,  fl_materiale,id_utente_ins)  values ('ALT',1,'Taglia autorizzata',false,(SELECT ID_UTENTE FROM UTENTI WHERE USERNAME='armando.canto@airliquide.com'));</v>
      </c>
    </row>
    <row r="22" spans="1:9" x14ac:dyDescent="0.2">
      <c r="A22" s="53" t="s">
        <v>482</v>
      </c>
      <c r="B22" s="53">
        <v>6</v>
      </c>
      <c r="C22" s="65" t="s">
        <v>232</v>
      </c>
      <c r="D22" s="15" t="s">
        <v>233</v>
      </c>
      <c r="E22" s="38" t="s">
        <v>481</v>
      </c>
      <c r="F22" s="38">
        <v>58435</v>
      </c>
      <c r="G22" s="71"/>
      <c r="H22" s="54" t="str">
        <f>CONCATENATE("insert into ALLESTIMENTI (codice_allestimento,ordine, caratteristica,  fl_materiale,id_utente_ins)  values ('",A22,"',",B22,",'",C22,"',",E22,",(SELECT ID_UTENTE FROM UTENTI WHERE USERNAME='armando.canto@airliquide.com'));")</f>
        <v>insert into ALLESTIMENTI (codice_allestimento,ordine, caratteristica,  fl_materiale,id_utente_ins)  values ('SMA',6,'Sigillo riempimento',true,(SELECT ID_UTENTE FROM UTENTI WHERE USERNAME='armando.canto@airliquide.com'));</v>
      </c>
    </row>
    <row r="23" spans="1:9" x14ac:dyDescent="0.2">
      <c r="A23" s="53" t="s">
        <v>478</v>
      </c>
      <c r="B23" s="53">
        <v>4</v>
      </c>
      <c r="C23" s="65" t="s">
        <v>232</v>
      </c>
      <c r="D23" s="15" t="s">
        <v>233</v>
      </c>
      <c r="E23" s="38" t="s">
        <v>481</v>
      </c>
      <c r="F23" s="38">
        <v>58435</v>
      </c>
      <c r="G23" s="71"/>
      <c r="H23" s="54" t="str">
        <f>CONCATENATE("insert into ALLESTIMENTI (codice_allestimento,ordine, caratteristica,  fl_materiale,id_utente_ins)  values ('",A23,"',",B23,",'",C23,"',",E23,",(SELECT ID_UTENTE FROM UTENTI WHERE USERNAME='armando.canto@airliquide.com'));")</f>
        <v>insert into ALLESTIMENTI (codice_allestimento,ordine, caratteristica,  fl_materiale,id_utente_ins)  values ('PAC',4,'Sigillo riempimento',true,(SELECT ID_UTENTE FROM UTENTI WHERE USERNAME='armando.canto@airliquide.com'));</v>
      </c>
    </row>
    <row r="24" spans="1:9" x14ac:dyDescent="0.2">
      <c r="A24" s="53" t="s">
        <v>478</v>
      </c>
      <c r="B24" s="53">
        <v>10</v>
      </c>
      <c r="C24" s="15" t="s">
        <v>270</v>
      </c>
      <c r="D24" s="15" t="s">
        <v>271</v>
      </c>
      <c r="E24" s="38" t="s">
        <v>481</v>
      </c>
      <c r="F24" s="38">
        <v>58622</v>
      </c>
      <c r="G24" s="71" t="str">
        <f t="shared" ref="G22:G26" si="3">CONCATENATE("insert into materiali (descrizione,codice_sap) values ('",D24,"','",F24,"');")</f>
        <v>insert into materiali (descrizione,codice_sap) values ('Su pannello frontale','58622');</v>
      </c>
      <c r="H24" s="54" t="str">
        <f>CONCATENATE("insert into ALLESTIMENTI (codice_allestimento,ordine, caratteristica,  fl_materiale,id_utente_ins)  values ('",A24,"',",B24,",'",C24,"',",E24,",(SELECT ID_UTENTE FROM UTENTI WHERE USERNAME='armando.canto@airliquide.com'));")</f>
        <v>insert into ALLESTIMENTI (codice_allestimento,ordine, caratteristica,  fl_materiale,id_utente_ins)  values ('PAC',10,'Logo ADR + brand',true,(SELECT ID_UTENTE FROM UTENTI WHERE USERNAME='armando.canto@airliquide.com'));</v>
      </c>
    </row>
    <row r="25" spans="1:9" x14ac:dyDescent="0.2">
      <c r="A25" s="53" t="s">
        <v>482</v>
      </c>
      <c r="B25" s="53">
        <v>2</v>
      </c>
      <c r="C25" s="67" t="s">
        <v>225</v>
      </c>
      <c r="D25" s="15" t="s">
        <v>242</v>
      </c>
      <c r="E25" s="38" t="s">
        <v>481</v>
      </c>
      <c r="F25" s="38">
        <v>63942</v>
      </c>
      <c r="G25" s="71" t="str">
        <f t="shared" si="3"/>
        <v>insert into materiali (descrizione,codice_sap) values ('Tipo Smartop Argon','63942');</v>
      </c>
      <c r="H25" s="54" t="str">
        <f>CONCATENATE("insert into ALLESTIMENTI (codice_allestimento,ordine, caratteristica,  fl_materiale,id_utente_ins)  values ('",A25,"',",B25,",'",C25,"',",E25,",(SELECT ID_UTENTE FROM UTENTI WHERE USERNAME='armando.canto@airliquide.com'));")</f>
        <v>insert into ALLESTIMENTI (codice_allestimento,ordine, caratteristica,  fl_materiale,id_utente_ins)  values ('SMA',2,'Valvola',true,(SELECT ID_UTENTE FROM UTENTI WHERE USERNAME='armando.canto@airliquide.com'));</v>
      </c>
    </row>
    <row r="26" spans="1:9" x14ac:dyDescent="0.2">
      <c r="A26" s="53" t="s">
        <v>482</v>
      </c>
      <c r="B26" s="53">
        <v>10</v>
      </c>
      <c r="C26" s="15" t="s">
        <v>245</v>
      </c>
      <c r="D26" s="15" t="s">
        <v>246</v>
      </c>
      <c r="E26" s="38" t="s">
        <v>481</v>
      </c>
      <c r="F26" s="38">
        <v>108505</v>
      </c>
      <c r="G26" s="71" t="str">
        <f t="shared" si="3"/>
        <v>insert into materiali (descrizione,codice_sap) values ('Sulla valvola Smartop','108505');</v>
      </c>
      <c r="H26" s="54" t="str">
        <f>CONCATENATE("insert into ALLESTIMENTI (codice_allestimento,ordine, caratteristica,  fl_materiale,id_utente_ins)  values ('",A26,"',",B26,",'",C26,"',",E26,",(SELECT ID_UTENTE FROM UTENTI WHERE USERNAME='armando.canto@airliquide.com'));")</f>
        <v>insert into ALLESTIMENTI (codice_allestimento,ordine, caratteristica,  fl_materiale,id_utente_ins)  values ('SMA',10,'Adesivo Sicurezza giallo',true,(SELECT ID_UTENTE FROM UTENTI WHERE USERNAME='armando.canto@airliquide.com'));</v>
      </c>
    </row>
    <row r="27" spans="1:9" hidden="1" x14ac:dyDescent="0.2">
      <c r="A27" s="53" t="s">
        <v>483</v>
      </c>
      <c r="B27" s="53">
        <v>7</v>
      </c>
      <c r="C27" s="15" t="s">
        <v>234</v>
      </c>
      <c r="D27" s="15" t="s">
        <v>231</v>
      </c>
      <c r="E27" s="34" t="s">
        <v>480</v>
      </c>
      <c r="F27" s="34"/>
      <c r="G27" s="70"/>
      <c r="H27" s="54" t="str">
        <f>CONCATENATE("insert into ALLESTIMENTI (codice_allestimento,ordine, caratteristica,  fl_materiale,id_utente_ins)  values ('",A27,"',",B27,",'",C27,"',",E27,",(SELECT ID_UTENTE FROM UTENTI WHERE USERNAME='armando.canto@airliquide.com'));")</f>
        <v>insert into ALLESTIMENTI (codice_allestimento,ordine, caratteristica,  fl_materiale,id_utente_ins)  values ('ALT',7,'Cartellino',false,(SELECT ID_UTENTE FROM UTENTI WHERE USERNAME='armando.canto@airliquide.com'));</v>
      </c>
    </row>
    <row r="28" spans="1:9" hidden="1" x14ac:dyDescent="0.2">
      <c r="A28" s="53" t="s">
        <v>483</v>
      </c>
      <c r="B28" s="53">
        <v>8</v>
      </c>
      <c r="C28" s="15" t="s">
        <v>235</v>
      </c>
      <c r="D28" s="15" t="s">
        <v>236</v>
      </c>
      <c r="E28" s="34" t="s">
        <v>480</v>
      </c>
      <c r="F28" s="34"/>
      <c r="G28" s="70"/>
      <c r="H28" s="54" t="str">
        <f>CONCATENATE("insert into ALLESTIMENTI (codice_allestimento,ordine, caratteristica,  fl_materiale,id_utente_ins)  values ('",A28,"',",B28,",'",C28,"',",E28,",(SELECT ID_UTENTE FROM UTENTI WHERE USERNAME='armando.canto@airliquide.com'));")</f>
        <v>insert into ALLESTIMENTI (codice_allestimento,ordine, caratteristica,  fl_materiale,id_utente_ins)  values ('ALT',8,'Barcode',false,(SELECT ID_UTENTE FROM UTENTI WHERE USERNAME='armando.canto@airliquide.com'));</v>
      </c>
    </row>
    <row r="29" spans="1:9" x14ac:dyDescent="0.2">
      <c r="A29" s="53" t="s">
        <v>478</v>
      </c>
      <c r="B29" s="53">
        <v>11</v>
      </c>
      <c r="C29" s="15" t="s">
        <v>272</v>
      </c>
      <c r="D29" s="15" t="s">
        <v>273</v>
      </c>
      <c r="E29" s="38" t="s">
        <v>481</v>
      </c>
      <c r="F29" s="38">
        <v>152915</v>
      </c>
      <c r="G29" s="71" t="str">
        <f t="shared" ref="G29:G31" si="4">CONCATENATE("insert into materiali (descrizione,codice_sap) values ('",D29,"','",F29,"');")</f>
        <v>insert into materiali (descrizione,codice_sap) values ('Su 3 lati senza valvola','152915');</v>
      </c>
      <c r="H29" s="54" t="str">
        <f>CONCATENATE("insert into ALLESTIMENTI (codice_allestimento,ordine, caratteristica,  fl_materiale,id_utente_ins)  values ('",A29,"',",B29,",'",C29,"',",E29,",(SELECT ID_UTENTE FROM UTENTI WHERE USERNAME='armando.canto@airliquide.com'));")</f>
        <v>insert into ALLESTIMENTI (codice_allestimento,ordine, caratteristica,  fl_materiale,id_utente_ins)  values ('PAC',11,'Pittogrammi ADR',true,(SELECT ID_UTENTE FROM UTENTI WHERE USERNAME='armando.canto@airliquide.com'));</v>
      </c>
    </row>
    <row r="30" spans="1:9" x14ac:dyDescent="0.2">
      <c r="A30" s="53" t="s">
        <v>479</v>
      </c>
      <c r="B30" s="53">
        <v>4</v>
      </c>
      <c r="C30" s="66" t="s">
        <v>227</v>
      </c>
      <c r="D30" s="15" t="s">
        <v>229</v>
      </c>
      <c r="E30" s="69" t="s">
        <v>481</v>
      </c>
      <c r="F30" s="38">
        <v>159605</v>
      </c>
      <c r="G30" s="71"/>
      <c r="H30" s="54" t="str">
        <f>CONCATENATE("insert into ALLESTIMENTI (codice_allestimento,ordine, caratteristica,  fl_materiale,id_utente_ins)  values ('",A30,"',",B30,",'",C30,"',",E30,",(SELECT ID_UTENTE FROM UTENTI WHERE USERNAME='armando.canto@airliquide.com'));")</f>
        <v>insert into ALLESTIMENTI (codice_allestimento,ordine, caratteristica,  fl_materiale,id_utente_ins)  values ('REG',4,'Cappellotto',true,(SELECT ID_UTENTE FROM UTENTI WHERE USERNAME='armando.canto@airliquide.com'));</v>
      </c>
    </row>
    <row r="31" spans="1:9" x14ac:dyDescent="0.2">
      <c r="A31" s="53" t="s">
        <v>482</v>
      </c>
      <c r="B31" s="53">
        <v>4</v>
      </c>
      <c r="C31" s="66" t="s">
        <v>227</v>
      </c>
      <c r="D31" s="15" t="s">
        <v>244</v>
      </c>
      <c r="E31" s="38" t="s">
        <v>481</v>
      </c>
      <c r="F31" s="38">
        <v>159605</v>
      </c>
      <c r="G31" s="71" t="str">
        <f t="shared" si="4"/>
        <v>insert into materiali (descrizione,codice_sap) values ('Tipo Scandina Blu RAL 5015','159605');</v>
      </c>
      <c r="H31" s="54" t="str">
        <f>CONCATENATE("insert into ALLESTIMENTI (codice_allestimento,ordine, caratteristica,  fl_materiale,id_utente_ins)  values ('",A31,"',",B31,",'",C31,"',",E31,",(SELECT ID_UTENTE FROM UTENTI WHERE USERNAME='armando.canto@airliquide.com'));")</f>
        <v>insert into ALLESTIMENTI (codice_allestimento,ordine, caratteristica,  fl_materiale,id_utente_ins)  values ('SMA',4,'Cappellotto',true,(SELECT ID_UTENTE FROM UTENTI WHERE USERNAME='armando.canto@airliquide.com'));</v>
      </c>
    </row>
    <row r="32" spans="1:9" hidden="1" x14ac:dyDescent="0.2">
      <c r="A32" s="53" t="s">
        <v>478</v>
      </c>
      <c r="B32" s="53">
        <v>1</v>
      </c>
      <c r="C32" s="15" t="s">
        <v>223</v>
      </c>
      <c r="D32" s="15" t="s">
        <v>261</v>
      </c>
      <c r="E32" s="34" t="s">
        <v>480</v>
      </c>
      <c r="F32" s="34"/>
      <c r="G32" s="70"/>
      <c r="H32" s="54" t="str">
        <f>CONCATENATE("insert into ALLESTIMENTI (codice_allestimento,ordine, caratteristica,  fl_materiale,id_utente_ins)  values ('",A32,"',",B32,",'",C32,"',",E32,",(SELECT ID_UTENTE FROM UTENTI WHERE USERNAME='armando.canto@airliquide.com'));")</f>
        <v>insert into ALLESTIMENTI (codice_allestimento,ordine, caratteristica,  fl_materiale,id_utente_ins)  values ('PAC',1,'Taglia autorizzata',false,(SELECT ID_UTENTE FROM UTENTI WHERE USERNAME='armando.canto@airliquide.com'));</v>
      </c>
    </row>
    <row r="33" spans="1:8" x14ac:dyDescent="0.2">
      <c r="A33" s="53" t="s">
        <v>479</v>
      </c>
      <c r="B33" s="53">
        <v>9</v>
      </c>
      <c r="C33" s="65" t="s">
        <v>237</v>
      </c>
      <c r="D33" s="15" t="s">
        <v>238</v>
      </c>
      <c r="E33" s="38" t="s">
        <v>481</v>
      </c>
      <c r="F33" s="38" t="s">
        <v>484</v>
      </c>
      <c r="G33" s="71" t="str">
        <f>CONCATENATE("insert into materiali (descrizione,codice_sap) values ('",D33,"','",F33,"');")</f>
        <v>insert into materiali (descrizione,codice_sap) values ('Attorno alla vavola','XXX');</v>
      </c>
      <c r="H33" s="54" t="str">
        <f>CONCATENATE("insert into ALLESTIMENTI (codice_allestimento,ordine, caratteristica,  fl_materiale,id_utente_ins)  values ('",A33,"',",B33,",'",C33,"',",E33,",(SELECT ID_UTENTE FROM UTENTI WHERE USERNAME='armando.canto@airliquide.com'));")</f>
        <v>insert into ALLESTIMENTI (codice_allestimento,ordine, caratteristica,  fl_materiale,id_utente_ins)  values ('REG',9,'Anello di scadenza',true,(SELECT ID_UTENTE FROM UTENTI WHERE USERNAME='armando.canto@airliquide.com'));</v>
      </c>
    </row>
    <row r="34" spans="1:8" hidden="1" x14ac:dyDescent="0.2">
      <c r="A34" s="53" t="s">
        <v>478</v>
      </c>
      <c r="B34" s="53">
        <v>3</v>
      </c>
      <c r="C34" s="15" t="s">
        <v>230</v>
      </c>
      <c r="D34" s="15" t="s">
        <v>231</v>
      </c>
      <c r="E34" s="34" t="s">
        <v>480</v>
      </c>
      <c r="F34" s="34"/>
      <c r="G34" s="70"/>
      <c r="H34" s="54" t="str">
        <f>CONCATENATE("insert into ALLESTIMENTI (codice_allestimento,ordine, caratteristica,  fl_materiale,id_utente_ins)  values ('",A34,"',",B34,",'",C34,"',",E34,",(SELECT ID_UTENTE FROM UTENTI WHERE USERNAME='armando.canto@airliquide.com'));")</f>
        <v>insert into ALLESTIMENTI (codice_allestimento,ordine, caratteristica,  fl_materiale,id_utente_ins)  values ('PAC',3,'Termoretraibile',false,(SELECT ID_UTENTE FROM UTENTI WHERE USERNAME='armando.canto@airliquide.com'));</v>
      </c>
    </row>
    <row r="35" spans="1:8" x14ac:dyDescent="0.2">
      <c r="A35" s="53" t="s">
        <v>482</v>
      </c>
      <c r="B35" s="53">
        <v>9</v>
      </c>
      <c r="C35" s="15" t="s">
        <v>237</v>
      </c>
      <c r="D35" s="15" t="s">
        <v>238</v>
      </c>
      <c r="E35" s="38" t="s">
        <v>481</v>
      </c>
      <c r="F35" s="38"/>
      <c r="G35" s="71"/>
      <c r="H35" s="54" t="str">
        <f>CONCATENATE("insert into ALLESTIMENTI (codice_allestimento,ordine, caratteristica,  fl_materiale,id_utente_ins)  values ('",A35,"',",B35,",'",C35,"',",E35,",(SELECT ID_UTENTE FROM UTENTI WHERE USERNAME='armando.canto@airliquide.com'));")</f>
        <v>insert into ALLESTIMENTI (codice_allestimento,ordine, caratteristica,  fl_materiale,id_utente_ins)  values ('SMA',9,'Anello di scadenza',true,(SELECT ID_UTENTE FROM UTENTI WHERE USERNAME='armando.canto@airliquide.com'));</v>
      </c>
    </row>
    <row r="36" spans="1:8" hidden="1" x14ac:dyDescent="0.2">
      <c r="A36" s="53" t="s">
        <v>478</v>
      </c>
      <c r="B36" s="53">
        <v>5</v>
      </c>
      <c r="C36" s="15" t="s">
        <v>234</v>
      </c>
      <c r="D36" s="15" t="s">
        <v>231</v>
      </c>
      <c r="E36" s="34" t="s">
        <v>480</v>
      </c>
      <c r="F36" s="34"/>
      <c r="G36" s="70"/>
      <c r="H36" s="54" t="str">
        <f>CONCATENATE("insert into ALLESTIMENTI (codice_allestimento,ordine, caratteristica,  fl_materiale,id_utente_ins)  values ('",A36,"',",B36,",'",C36,"',",E36,",(SELECT ID_UTENTE FROM UTENTI WHERE USERNAME='armando.canto@airliquide.com'));")</f>
        <v>insert into ALLESTIMENTI (codice_allestimento,ordine, caratteristica,  fl_materiale,id_utente_ins)  values ('PAC',5,'Cartellino',false,(SELECT ID_UTENTE FROM UTENTI WHERE USERNAME='armando.canto@airliquide.com'));</v>
      </c>
    </row>
    <row r="37" spans="1:8" hidden="1" x14ac:dyDescent="0.2">
      <c r="A37" s="53" t="s">
        <v>478</v>
      </c>
      <c r="B37" s="53">
        <v>6</v>
      </c>
      <c r="C37" s="15" t="s">
        <v>235</v>
      </c>
      <c r="D37" s="15" t="s">
        <v>263</v>
      </c>
      <c r="E37" s="34" t="s">
        <v>480</v>
      </c>
      <c r="F37" s="34"/>
      <c r="G37" s="70"/>
      <c r="H37" s="54" t="str">
        <f>CONCATENATE("insert into ALLESTIMENTI (codice_allestimento,ordine, caratteristica,  fl_materiale,id_utente_ins)  values ('",A37,"',",B37,",'",C37,"',",E37,",(SELECT ID_UTENTE FROM UTENTI WHERE USERNAME='armando.canto@airliquide.com'));")</f>
        <v>insert into ALLESTIMENTI (codice_allestimento,ordine, caratteristica,  fl_materiale,id_utente_ins)  values ('PAC',6,'Barcode',false,(SELECT ID_UTENTE FROM UTENTI WHERE USERNAME='armando.canto@airliquide.com'));</v>
      </c>
    </row>
    <row r="38" spans="1:8" hidden="1" x14ac:dyDescent="0.2">
      <c r="A38" s="53" t="s">
        <v>478</v>
      </c>
      <c r="B38" s="53">
        <v>7</v>
      </c>
      <c r="C38" s="15" t="s">
        <v>264</v>
      </c>
      <c r="D38" s="15" t="s">
        <v>265</v>
      </c>
      <c r="E38" s="34" t="s">
        <v>480</v>
      </c>
      <c r="F38" s="34"/>
      <c r="G38" s="70"/>
      <c r="H38" s="54" t="str">
        <f>CONCATENATE("insert into ALLESTIMENTI (codice_allestimento,ordine, caratteristica,  fl_materiale,id_utente_ins)  values ('",A38,"',",B38,",'",C38,"',",E38,",(SELECT ID_UTENTE FROM UTENTI WHERE USERNAME='armando.canto@airliquide.com'));")</f>
        <v>insert into ALLESTIMENTI (codice_allestimento,ordine, caratteristica,  fl_materiale,id_utente_ins)  values ('PAC',7,'Anello scadenza',false,(SELECT ID_UTENTE FROM UTENTI WHERE USERNAME='armando.canto@airliquide.com'));</v>
      </c>
    </row>
    <row r="39" spans="1:8" hidden="1" x14ac:dyDescent="0.2">
      <c r="A39" s="53" t="s">
        <v>478</v>
      </c>
      <c r="B39" s="53">
        <v>8</v>
      </c>
      <c r="C39" s="15" t="s">
        <v>266</v>
      </c>
      <c r="D39" s="15" t="s">
        <v>267</v>
      </c>
      <c r="E39" s="34" t="s">
        <v>480</v>
      </c>
      <c r="F39" s="34"/>
      <c r="G39" s="70"/>
      <c r="H39" s="54" t="str">
        <f>CONCATENATE("insert into ALLESTIMENTI (codice_allestimento,ordine, caratteristica,  fl_materiale,id_utente_ins)  values ('",A39,"',",B39,",'",C39,"',",E39,",(SELECT ID_UTENTE FROM UTENTI WHERE USERNAME='armando.canto@airliquide.com'));")</f>
        <v>insert into ALLESTIMENTI (codice_allestimento,ordine, caratteristica,  fl_materiale,id_utente_ins)  values ('PAC',8,'Staffa supporto valvola',false,(SELECT ID_UTENTE FROM UTENTI WHERE USERNAME='armando.canto@airliquide.com'));</v>
      </c>
    </row>
    <row r="40" spans="1:8" hidden="1" x14ac:dyDescent="0.2">
      <c r="A40" s="53" t="s">
        <v>478</v>
      </c>
      <c r="B40" s="53">
        <v>9</v>
      </c>
      <c r="C40" s="15" t="s">
        <v>268</v>
      </c>
      <c r="D40" s="15" t="s">
        <v>269</v>
      </c>
      <c r="E40" s="34" t="s">
        <v>480</v>
      </c>
      <c r="F40" s="34"/>
      <c r="G40" s="70"/>
      <c r="H40" s="54" t="str">
        <f>CONCATENATE("insert into ALLESTIMENTI (codice_allestimento,ordine, caratteristica,  fl_materiale,id_utente_ins)  values ('",A40,"',",B40,",'",C40,"',",E40,",(SELECT ID_UTENTE FROM UTENTI WHERE USERNAME='armando.canto@airliquide.com'));")</f>
        <v>insert into ALLESTIMENTI (codice_allestimento,ordine, caratteristica,  fl_materiale,id_utente_ins)  values ('PAC',9,'Blocchetto valvola',false,(SELECT ID_UTENTE FROM UTENTI WHERE USERNAME='armando.canto@airliquide.com'));</v>
      </c>
    </row>
    <row r="41" spans="1:8" x14ac:dyDescent="0.2">
      <c r="A41" s="53" t="s">
        <v>483</v>
      </c>
      <c r="B41" s="53">
        <v>9</v>
      </c>
      <c r="C41" s="15" t="s">
        <v>237</v>
      </c>
      <c r="D41" s="15" t="s">
        <v>238</v>
      </c>
      <c r="E41" s="38" t="s">
        <v>481</v>
      </c>
      <c r="F41" s="38"/>
      <c r="G41" s="71"/>
      <c r="H41" s="54" t="str">
        <f>CONCATENATE("insert into ALLESTIMENTI (codice_allestimento,ordine, caratteristica,  fl_materiale,id_utente_ins)  values ('",A41,"',",B41,",'",C41,"',",E41,",(SELECT ID_UTENTE FROM UTENTI WHERE USERNAME='armando.canto@airliquide.com'));")</f>
        <v>insert into ALLESTIMENTI (codice_allestimento,ordine, caratteristica,  fl_materiale,id_utente_ins)  values ('ALT',9,'Anello di scadenza',true,(SELECT ID_UTENTE FROM UTENTI WHERE USERNAME='armando.canto@airliquide.com'));</v>
      </c>
    </row>
    <row r="42" spans="1:8" x14ac:dyDescent="0.2">
      <c r="A42" s="53" t="s">
        <v>483</v>
      </c>
      <c r="B42" s="53">
        <v>11</v>
      </c>
      <c r="C42" s="15" t="s">
        <v>258</v>
      </c>
      <c r="D42" s="15" t="s">
        <v>259</v>
      </c>
      <c r="E42" s="38" t="s">
        <v>481</v>
      </c>
      <c r="F42" s="38" t="s">
        <v>485</v>
      </c>
      <c r="G42" s="71" t="str">
        <f t="shared" ref="G41:G42" si="5">CONCATENATE("insert into materiali (descrizione,codice_sap) values ('",D42,"','",F42,"');")</f>
        <v>insert into materiali (descrizione,codice_sap) values ('Su foro riempimento','YYY');</v>
      </c>
      <c r="H42" s="54" t="str">
        <f>CONCATENATE("insert into ALLESTIMENTI (codice_allestimento,ordine, caratteristica,  fl_materiale,id_utente_ins)  values ('",A42,"',",B42,",'",C42,"',",E42,",(SELECT ID_UTENTE FROM UTENTI WHERE USERNAME='armando.canto@airliquide.com'));")</f>
        <v>insert into ALLESTIMENTI (codice_allestimento,ordine, caratteristica,  fl_materiale,id_utente_ins)  values ('ALT',11,'Adesivo NON RIMUOVERE',true,(SELECT ID_UTENTE FROM UTENTI WHERE USERNAME='armando.canto@airliquide.com'));</v>
      </c>
    </row>
  </sheetData>
  <autoFilter ref="A1:I42">
    <filterColumn colId="4">
      <filters>
        <filter val="true"/>
      </filters>
    </filterColumn>
    <sortState ref="A3:H42">
      <sortCondition ref="F2:F4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ARCAL 1</vt:lpstr>
      <vt:lpstr>ARCAL 21</vt:lpstr>
      <vt:lpstr>TABELLE</vt:lpstr>
      <vt:lpstr>TABELLE (2)</vt:lpstr>
      <vt:lpstr>Foglio4</vt:lpstr>
      <vt:lpstr>Foglio1</vt:lpstr>
      <vt:lpstr>Foglio2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Fabiano Moda</cp:lastModifiedBy>
  <dcterms:created xsi:type="dcterms:W3CDTF">2017-11-13T07:37:07Z</dcterms:created>
  <dcterms:modified xsi:type="dcterms:W3CDTF">2017-12-04T17:05:58Z</dcterms:modified>
</cp:coreProperties>
</file>
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75" windowWidth="18195" windowHeight="8265"/>
  </bookViews>
  <sheets>
    <sheet name="conversioni" sheetId="1" r:id="rId1"/>
  </sheets>
  <definedNames>
    <definedName name="_xlnm._FilterDatabase" localSheetId="0" hidden="1">conversioni!$A$1:$X$189</definedName>
  </definedNames>
  <calcPr calcId="145621"/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" i="1"/>
  <c r="W167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" i="1"/>
  <c r="S1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" i="1"/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" i="1"/>
  <c r="M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U126" i="1" s="1"/>
  <c r="M127" i="1"/>
  <c r="U127" i="1" s="1"/>
  <c r="M128" i="1"/>
  <c r="U128" i="1" s="1"/>
  <c r="M129" i="1"/>
  <c r="U129" i="1" s="1"/>
  <c r="M130" i="1"/>
  <c r="U130" i="1" s="1"/>
  <c r="M131" i="1"/>
  <c r="U131" i="1" s="1"/>
  <c r="M132" i="1"/>
  <c r="U132" i="1" s="1"/>
  <c r="M133" i="1"/>
  <c r="U133" i="1" s="1"/>
  <c r="M134" i="1"/>
  <c r="U134" i="1" s="1"/>
  <c r="M135" i="1"/>
  <c r="U135" i="1" s="1"/>
  <c r="M136" i="1"/>
  <c r="U136" i="1" s="1"/>
  <c r="M137" i="1"/>
  <c r="U137" i="1" s="1"/>
  <c r="M138" i="1"/>
  <c r="U138" i="1" s="1"/>
  <c r="M139" i="1"/>
  <c r="U139" i="1" s="1"/>
  <c r="M140" i="1"/>
  <c r="U140" i="1" s="1"/>
  <c r="M141" i="1"/>
  <c r="U141" i="1" s="1"/>
  <c r="M142" i="1"/>
  <c r="U142" i="1" s="1"/>
  <c r="M143" i="1"/>
  <c r="U143" i="1" s="1"/>
  <c r="M144" i="1"/>
  <c r="U144" i="1" s="1"/>
  <c r="M145" i="1"/>
  <c r="U145" i="1" s="1"/>
  <c r="M146" i="1"/>
  <c r="U146" i="1" s="1"/>
  <c r="M147" i="1"/>
  <c r="U147" i="1" s="1"/>
  <c r="M148" i="1"/>
  <c r="U148" i="1" s="1"/>
  <c r="M149" i="1"/>
  <c r="U149" i="1" s="1"/>
  <c r="M150" i="1"/>
  <c r="U150" i="1" s="1"/>
  <c r="M151" i="1"/>
  <c r="U151" i="1" s="1"/>
  <c r="M152" i="1"/>
  <c r="U152" i="1" s="1"/>
  <c r="M153" i="1"/>
  <c r="U153" i="1" s="1"/>
  <c r="M154" i="1"/>
  <c r="U154" i="1" s="1"/>
  <c r="M155" i="1"/>
  <c r="U155" i="1" s="1"/>
  <c r="M156" i="1"/>
  <c r="U156" i="1" s="1"/>
  <c r="M157" i="1"/>
  <c r="U157" i="1" s="1"/>
  <c r="M158" i="1"/>
  <c r="U158" i="1" s="1"/>
  <c r="M159" i="1"/>
  <c r="U159" i="1" s="1"/>
  <c r="M160" i="1"/>
  <c r="U160" i="1" s="1"/>
  <c r="M161" i="1"/>
  <c r="U161" i="1" s="1"/>
  <c r="M162" i="1"/>
  <c r="U162" i="1" s="1"/>
  <c r="M163" i="1"/>
  <c r="U163" i="1" s="1"/>
  <c r="M164" i="1"/>
  <c r="U164" i="1" s="1"/>
  <c r="M165" i="1"/>
  <c r="U165" i="1" s="1"/>
  <c r="M166" i="1"/>
  <c r="U166" i="1" s="1"/>
  <c r="M167" i="1"/>
  <c r="U167" i="1" s="1"/>
  <c r="M168" i="1"/>
  <c r="U168" i="1" s="1"/>
  <c r="M169" i="1"/>
  <c r="U169" i="1" s="1"/>
  <c r="M170" i="1"/>
  <c r="U170" i="1" s="1"/>
  <c r="M171" i="1"/>
  <c r="U171" i="1" s="1"/>
  <c r="M172" i="1"/>
  <c r="U172" i="1" s="1"/>
  <c r="M173" i="1"/>
  <c r="U173" i="1" s="1"/>
  <c r="M174" i="1"/>
  <c r="U174" i="1" s="1"/>
  <c r="M175" i="1"/>
  <c r="U175" i="1" s="1"/>
  <c r="M176" i="1"/>
  <c r="U176" i="1" s="1"/>
  <c r="M177" i="1"/>
  <c r="U177" i="1" s="1"/>
  <c r="M178" i="1"/>
  <c r="U178" i="1" s="1"/>
  <c r="M179" i="1"/>
  <c r="U179" i="1" s="1"/>
  <c r="M180" i="1"/>
  <c r="U180" i="1" s="1"/>
  <c r="M181" i="1"/>
  <c r="U181" i="1" s="1"/>
  <c r="M182" i="1"/>
  <c r="U182" i="1" s="1"/>
  <c r="M183" i="1"/>
  <c r="U183" i="1" s="1"/>
  <c r="M184" i="1"/>
  <c r="U184" i="1" s="1"/>
  <c r="M185" i="1"/>
  <c r="U185" i="1" s="1"/>
  <c r="M186" i="1"/>
  <c r="U186" i="1" s="1"/>
  <c r="M187" i="1"/>
  <c r="U187" i="1" s="1"/>
  <c r="M188" i="1"/>
  <c r="U188" i="1" s="1"/>
  <c r="M189" i="1"/>
  <c r="U189" i="1" s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" i="1"/>
  <c r="Q184" i="1" l="1"/>
  <c r="X184" i="1" s="1"/>
  <c r="V184" i="1"/>
  <c r="Q176" i="1"/>
  <c r="X176" i="1" s="1"/>
  <c r="V176" i="1"/>
  <c r="Q168" i="1"/>
  <c r="X168" i="1" s="1"/>
  <c r="V168" i="1"/>
  <c r="Q156" i="1"/>
  <c r="X156" i="1" s="1"/>
  <c r="V156" i="1"/>
  <c r="Q144" i="1"/>
  <c r="X144" i="1" s="1"/>
  <c r="V144" i="1"/>
  <c r="Q136" i="1"/>
  <c r="X136" i="1" s="1"/>
  <c r="V136" i="1"/>
  <c r="Q128" i="1"/>
  <c r="X128" i="1" s="1"/>
  <c r="V128" i="1"/>
  <c r="Q120" i="1"/>
  <c r="X120" i="1" s="1"/>
  <c r="V120" i="1"/>
  <c r="Q112" i="1"/>
  <c r="X112" i="1" s="1"/>
  <c r="V112" i="1"/>
  <c r="Q104" i="1"/>
  <c r="X104" i="1" s="1"/>
  <c r="V104" i="1"/>
  <c r="Q96" i="1"/>
  <c r="X96" i="1" s="1"/>
  <c r="V96" i="1"/>
  <c r="Q88" i="1"/>
  <c r="X88" i="1" s="1"/>
  <c r="V88" i="1"/>
  <c r="Q80" i="1"/>
  <c r="X80" i="1" s="1"/>
  <c r="V80" i="1"/>
  <c r="Q72" i="1"/>
  <c r="X72" i="1" s="1"/>
  <c r="V72" i="1"/>
  <c r="Q60" i="1"/>
  <c r="X60" i="1" s="1"/>
  <c r="V60" i="1"/>
  <c r="Q52" i="1"/>
  <c r="X52" i="1" s="1"/>
  <c r="V52" i="1"/>
  <c r="Q44" i="1"/>
  <c r="X44" i="1" s="1"/>
  <c r="V44" i="1"/>
  <c r="Q40" i="1"/>
  <c r="X40" i="1" s="1"/>
  <c r="V40" i="1"/>
  <c r="Q28" i="1"/>
  <c r="X28" i="1" s="1"/>
  <c r="V28" i="1"/>
  <c r="Q20" i="1"/>
  <c r="X20" i="1" s="1"/>
  <c r="V20" i="1"/>
  <c r="Q12" i="1"/>
  <c r="X12" i="1" s="1"/>
  <c r="V12" i="1"/>
  <c r="Q4" i="1"/>
  <c r="X4" i="1" s="1"/>
  <c r="V4" i="1"/>
  <c r="Q183" i="1"/>
  <c r="X183" i="1" s="1"/>
  <c r="V183" i="1"/>
  <c r="Q175" i="1"/>
  <c r="X175" i="1" s="1"/>
  <c r="V175" i="1"/>
  <c r="Q167" i="1"/>
  <c r="X167" i="1" s="1"/>
  <c r="V167" i="1"/>
  <c r="Q163" i="1"/>
  <c r="X163" i="1" s="1"/>
  <c r="V163" i="1"/>
  <c r="Q159" i="1"/>
  <c r="X159" i="1" s="1"/>
  <c r="V159" i="1"/>
  <c r="Q151" i="1"/>
  <c r="X151" i="1" s="1"/>
  <c r="V151" i="1"/>
  <c r="Q147" i="1"/>
  <c r="X147" i="1" s="1"/>
  <c r="V147" i="1"/>
  <c r="Q139" i="1"/>
  <c r="X139" i="1" s="1"/>
  <c r="V139" i="1"/>
  <c r="Q131" i="1"/>
  <c r="X131" i="1" s="1"/>
  <c r="V131" i="1"/>
  <c r="Q123" i="1"/>
  <c r="X123" i="1" s="1"/>
  <c r="V123" i="1"/>
  <c r="Q115" i="1"/>
  <c r="X115" i="1" s="1"/>
  <c r="V115" i="1"/>
  <c r="Q107" i="1"/>
  <c r="X107" i="1" s="1"/>
  <c r="V107" i="1"/>
  <c r="Q99" i="1"/>
  <c r="X99" i="1" s="1"/>
  <c r="V99" i="1"/>
  <c r="Q91" i="1"/>
  <c r="X91" i="1" s="1"/>
  <c r="V91" i="1"/>
  <c r="Q83" i="1"/>
  <c r="X83" i="1" s="1"/>
  <c r="V83" i="1"/>
  <c r="Q75" i="1"/>
  <c r="X75" i="1" s="1"/>
  <c r="V75" i="1"/>
  <c r="Q67" i="1"/>
  <c r="X67" i="1" s="1"/>
  <c r="V67" i="1"/>
  <c r="Q59" i="1"/>
  <c r="X59" i="1" s="1"/>
  <c r="V59" i="1"/>
  <c r="Q51" i="1"/>
  <c r="X51" i="1" s="1"/>
  <c r="V51" i="1"/>
  <c r="Q43" i="1"/>
  <c r="X43" i="1" s="1"/>
  <c r="V43" i="1"/>
  <c r="Q35" i="1"/>
  <c r="X35" i="1" s="1"/>
  <c r="V35" i="1"/>
  <c r="Q27" i="1"/>
  <c r="X27" i="1" s="1"/>
  <c r="V27" i="1"/>
  <c r="Q15" i="1"/>
  <c r="X15" i="1" s="1"/>
  <c r="V15" i="1"/>
  <c r="Q7" i="1"/>
  <c r="X7" i="1" s="1"/>
  <c r="V7" i="1"/>
  <c r="Q186" i="1"/>
  <c r="X186" i="1" s="1"/>
  <c r="V186" i="1"/>
  <c r="Q182" i="1"/>
  <c r="X182" i="1" s="1"/>
  <c r="V182" i="1"/>
  <c r="Q174" i="1"/>
  <c r="X174" i="1" s="1"/>
  <c r="V174" i="1"/>
  <c r="Q166" i="1"/>
  <c r="X166" i="1" s="1"/>
  <c r="V166" i="1"/>
  <c r="Q158" i="1"/>
  <c r="X158" i="1" s="1"/>
  <c r="V158" i="1"/>
  <c r="Q150" i="1"/>
  <c r="X150" i="1" s="1"/>
  <c r="V150" i="1"/>
  <c r="Q142" i="1"/>
  <c r="X142" i="1" s="1"/>
  <c r="V142" i="1"/>
  <c r="Q134" i="1"/>
  <c r="X134" i="1" s="1"/>
  <c r="V134" i="1"/>
  <c r="Q130" i="1"/>
  <c r="X130" i="1" s="1"/>
  <c r="V130" i="1"/>
  <c r="Q122" i="1"/>
  <c r="X122" i="1" s="1"/>
  <c r="V122" i="1"/>
  <c r="Q114" i="1"/>
  <c r="X114" i="1" s="1"/>
  <c r="V114" i="1"/>
  <c r="Q106" i="1"/>
  <c r="X106" i="1" s="1"/>
  <c r="V106" i="1"/>
  <c r="Q98" i="1"/>
  <c r="X98" i="1" s="1"/>
  <c r="V98" i="1"/>
  <c r="Q90" i="1"/>
  <c r="X90" i="1" s="1"/>
  <c r="V90" i="1"/>
  <c r="Q82" i="1"/>
  <c r="X82" i="1" s="1"/>
  <c r="V82" i="1"/>
  <c r="Q74" i="1"/>
  <c r="X74" i="1" s="1"/>
  <c r="V74" i="1"/>
  <c r="Q66" i="1"/>
  <c r="X66" i="1" s="1"/>
  <c r="V66" i="1"/>
  <c r="Q58" i="1"/>
  <c r="X58" i="1" s="1"/>
  <c r="V58" i="1"/>
  <c r="Q50" i="1"/>
  <c r="X50" i="1" s="1"/>
  <c r="V50" i="1"/>
  <c r="Q42" i="1"/>
  <c r="X42" i="1" s="1"/>
  <c r="V42" i="1"/>
  <c r="Q34" i="1"/>
  <c r="X34" i="1" s="1"/>
  <c r="V34" i="1"/>
  <c r="Q26" i="1"/>
  <c r="X26" i="1" s="1"/>
  <c r="V26" i="1"/>
  <c r="Q18" i="1"/>
  <c r="X18" i="1" s="1"/>
  <c r="V18" i="1"/>
  <c r="Q10" i="1"/>
  <c r="X10" i="1" s="1"/>
  <c r="V10" i="1"/>
  <c r="Q188" i="1"/>
  <c r="X188" i="1" s="1"/>
  <c r="V188" i="1"/>
  <c r="Q180" i="1"/>
  <c r="X180" i="1" s="1"/>
  <c r="V180" i="1"/>
  <c r="Q172" i="1"/>
  <c r="X172" i="1" s="1"/>
  <c r="V172" i="1"/>
  <c r="Q164" i="1"/>
  <c r="X164" i="1" s="1"/>
  <c r="V164" i="1"/>
  <c r="Q160" i="1"/>
  <c r="X160" i="1" s="1"/>
  <c r="V160" i="1"/>
  <c r="Q152" i="1"/>
  <c r="X152" i="1" s="1"/>
  <c r="V152" i="1"/>
  <c r="Q148" i="1"/>
  <c r="X148" i="1" s="1"/>
  <c r="V148" i="1"/>
  <c r="Q140" i="1"/>
  <c r="X140" i="1" s="1"/>
  <c r="V140" i="1"/>
  <c r="Q132" i="1"/>
  <c r="X132" i="1" s="1"/>
  <c r="V132" i="1"/>
  <c r="Q124" i="1"/>
  <c r="X124" i="1" s="1"/>
  <c r="V124" i="1"/>
  <c r="Q116" i="1"/>
  <c r="X116" i="1" s="1"/>
  <c r="V116" i="1"/>
  <c r="Q108" i="1"/>
  <c r="X108" i="1" s="1"/>
  <c r="V108" i="1"/>
  <c r="Q100" i="1"/>
  <c r="X100" i="1" s="1"/>
  <c r="V100" i="1"/>
  <c r="Q92" i="1"/>
  <c r="X92" i="1" s="1"/>
  <c r="V92" i="1"/>
  <c r="Q84" i="1"/>
  <c r="X84" i="1" s="1"/>
  <c r="V84" i="1"/>
  <c r="Q76" i="1"/>
  <c r="X76" i="1" s="1"/>
  <c r="V76" i="1"/>
  <c r="Q68" i="1"/>
  <c r="X68" i="1" s="1"/>
  <c r="V68" i="1"/>
  <c r="Q64" i="1"/>
  <c r="X64" i="1" s="1"/>
  <c r="V64" i="1"/>
  <c r="Q56" i="1"/>
  <c r="X56" i="1" s="1"/>
  <c r="V56" i="1"/>
  <c r="Q48" i="1"/>
  <c r="X48" i="1" s="1"/>
  <c r="V48" i="1"/>
  <c r="Q36" i="1"/>
  <c r="X36" i="1" s="1"/>
  <c r="V36" i="1"/>
  <c r="Q32" i="1"/>
  <c r="X32" i="1" s="1"/>
  <c r="V32" i="1"/>
  <c r="Q24" i="1"/>
  <c r="X24" i="1" s="1"/>
  <c r="V24" i="1"/>
  <c r="Q16" i="1"/>
  <c r="X16" i="1" s="1"/>
  <c r="V16" i="1"/>
  <c r="Q8" i="1"/>
  <c r="X8" i="1" s="1"/>
  <c r="V8" i="1"/>
  <c r="Q187" i="1"/>
  <c r="X187" i="1" s="1"/>
  <c r="V187" i="1"/>
  <c r="Q179" i="1"/>
  <c r="X179" i="1" s="1"/>
  <c r="V179" i="1"/>
  <c r="Q171" i="1"/>
  <c r="X171" i="1" s="1"/>
  <c r="V171" i="1"/>
  <c r="Q155" i="1"/>
  <c r="X155" i="1" s="1"/>
  <c r="V155" i="1"/>
  <c r="Q143" i="1"/>
  <c r="X143" i="1" s="1"/>
  <c r="V143" i="1"/>
  <c r="Q135" i="1"/>
  <c r="X135" i="1" s="1"/>
  <c r="V135" i="1"/>
  <c r="Q127" i="1"/>
  <c r="X127" i="1" s="1"/>
  <c r="V127" i="1"/>
  <c r="Q119" i="1"/>
  <c r="X119" i="1" s="1"/>
  <c r="V119" i="1"/>
  <c r="Q111" i="1"/>
  <c r="X111" i="1" s="1"/>
  <c r="V111" i="1"/>
  <c r="Q103" i="1"/>
  <c r="X103" i="1" s="1"/>
  <c r="V103" i="1"/>
  <c r="Q95" i="1"/>
  <c r="X95" i="1" s="1"/>
  <c r="V95" i="1"/>
  <c r="Q87" i="1"/>
  <c r="X87" i="1" s="1"/>
  <c r="V87" i="1"/>
  <c r="Q79" i="1"/>
  <c r="X79" i="1" s="1"/>
  <c r="V79" i="1"/>
  <c r="Q71" i="1"/>
  <c r="X71" i="1" s="1"/>
  <c r="V71" i="1"/>
  <c r="Q63" i="1"/>
  <c r="X63" i="1" s="1"/>
  <c r="V63" i="1"/>
  <c r="Q55" i="1"/>
  <c r="X55" i="1" s="1"/>
  <c r="V55" i="1"/>
  <c r="Q47" i="1"/>
  <c r="X47" i="1" s="1"/>
  <c r="V47" i="1"/>
  <c r="Q39" i="1"/>
  <c r="X39" i="1" s="1"/>
  <c r="V39" i="1"/>
  <c r="Q31" i="1"/>
  <c r="X31" i="1" s="1"/>
  <c r="V31" i="1"/>
  <c r="Q23" i="1"/>
  <c r="X23" i="1" s="1"/>
  <c r="V23" i="1"/>
  <c r="Q19" i="1"/>
  <c r="X19" i="1" s="1"/>
  <c r="V19" i="1"/>
  <c r="Q11" i="1"/>
  <c r="X11" i="1" s="1"/>
  <c r="V11" i="1"/>
  <c r="Q3" i="1"/>
  <c r="X3" i="1" s="1"/>
  <c r="V3" i="1"/>
  <c r="Q178" i="1"/>
  <c r="X178" i="1" s="1"/>
  <c r="V178" i="1"/>
  <c r="Q170" i="1"/>
  <c r="X170" i="1" s="1"/>
  <c r="V170" i="1"/>
  <c r="Q162" i="1"/>
  <c r="X162" i="1" s="1"/>
  <c r="V162" i="1"/>
  <c r="Q154" i="1"/>
  <c r="X154" i="1" s="1"/>
  <c r="V154" i="1"/>
  <c r="Q146" i="1"/>
  <c r="X146" i="1" s="1"/>
  <c r="V146" i="1"/>
  <c r="Q138" i="1"/>
  <c r="X138" i="1" s="1"/>
  <c r="V138" i="1"/>
  <c r="Q126" i="1"/>
  <c r="X126" i="1" s="1"/>
  <c r="V126" i="1"/>
  <c r="Q118" i="1"/>
  <c r="X118" i="1" s="1"/>
  <c r="V118" i="1"/>
  <c r="Q110" i="1"/>
  <c r="X110" i="1" s="1"/>
  <c r="V110" i="1"/>
  <c r="Q102" i="1"/>
  <c r="X102" i="1" s="1"/>
  <c r="V102" i="1"/>
  <c r="Q94" i="1"/>
  <c r="X94" i="1" s="1"/>
  <c r="V94" i="1"/>
  <c r="Q86" i="1"/>
  <c r="X86" i="1" s="1"/>
  <c r="V86" i="1"/>
  <c r="Q78" i="1"/>
  <c r="X78" i="1" s="1"/>
  <c r="V78" i="1"/>
  <c r="Q70" i="1"/>
  <c r="X70" i="1" s="1"/>
  <c r="V70" i="1"/>
  <c r="Q62" i="1"/>
  <c r="X62" i="1" s="1"/>
  <c r="V62" i="1"/>
  <c r="Q54" i="1"/>
  <c r="X54" i="1" s="1"/>
  <c r="V54" i="1"/>
  <c r="Q46" i="1"/>
  <c r="X46" i="1" s="1"/>
  <c r="V46" i="1"/>
  <c r="Q38" i="1"/>
  <c r="X38" i="1" s="1"/>
  <c r="V38" i="1"/>
  <c r="Q30" i="1"/>
  <c r="X30" i="1" s="1"/>
  <c r="V30" i="1"/>
  <c r="Q22" i="1"/>
  <c r="X22" i="1" s="1"/>
  <c r="V22" i="1"/>
  <c r="Q14" i="1"/>
  <c r="X14" i="1" s="1"/>
  <c r="V14" i="1"/>
  <c r="Q6" i="1"/>
  <c r="X6" i="1" s="1"/>
  <c r="V6" i="1"/>
  <c r="Q2" i="1"/>
  <c r="X2" i="1" s="1"/>
  <c r="V2" i="1"/>
  <c r="Q189" i="1"/>
  <c r="X189" i="1" s="1"/>
  <c r="V189" i="1"/>
  <c r="Q185" i="1"/>
  <c r="X185" i="1" s="1"/>
  <c r="V185" i="1"/>
  <c r="Q181" i="1"/>
  <c r="X181" i="1" s="1"/>
  <c r="V181" i="1"/>
  <c r="Q177" i="1"/>
  <c r="X177" i="1" s="1"/>
  <c r="V177" i="1"/>
  <c r="Q173" i="1"/>
  <c r="X173" i="1" s="1"/>
  <c r="V173" i="1"/>
  <c r="Q169" i="1"/>
  <c r="X169" i="1" s="1"/>
  <c r="V169" i="1"/>
  <c r="Q165" i="1"/>
  <c r="X165" i="1" s="1"/>
  <c r="V165" i="1"/>
  <c r="Q161" i="1"/>
  <c r="X161" i="1" s="1"/>
  <c r="V161" i="1"/>
  <c r="Q157" i="1"/>
  <c r="X157" i="1" s="1"/>
  <c r="V157" i="1"/>
  <c r="Q153" i="1"/>
  <c r="X153" i="1" s="1"/>
  <c r="V153" i="1"/>
  <c r="Q149" i="1"/>
  <c r="X149" i="1" s="1"/>
  <c r="V149" i="1"/>
  <c r="Q145" i="1"/>
  <c r="X145" i="1" s="1"/>
  <c r="V145" i="1"/>
  <c r="Q141" i="1"/>
  <c r="X141" i="1" s="1"/>
  <c r="V141" i="1"/>
  <c r="Q137" i="1"/>
  <c r="X137" i="1" s="1"/>
  <c r="V137" i="1"/>
  <c r="Q133" i="1"/>
  <c r="X133" i="1" s="1"/>
  <c r="V133" i="1"/>
  <c r="Q129" i="1"/>
  <c r="X129" i="1" s="1"/>
  <c r="V129" i="1"/>
  <c r="Q125" i="1"/>
  <c r="X125" i="1" s="1"/>
  <c r="V125" i="1"/>
  <c r="Q121" i="1"/>
  <c r="X121" i="1" s="1"/>
  <c r="V121" i="1"/>
  <c r="Q117" i="1"/>
  <c r="X117" i="1" s="1"/>
  <c r="V117" i="1"/>
  <c r="Q113" i="1"/>
  <c r="X113" i="1" s="1"/>
  <c r="V113" i="1"/>
  <c r="Q109" i="1"/>
  <c r="X109" i="1" s="1"/>
  <c r="V109" i="1"/>
  <c r="Q105" i="1"/>
  <c r="X105" i="1" s="1"/>
  <c r="V105" i="1"/>
  <c r="Q101" i="1"/>
  <c r="X101" i="1" s="1"/>
  <c r="V101" i="1"/>
  <c r="Q97" i="1"/>
  <c r="X97" i="1" s="1"/>
  <c r="V97" i="1"/>
  <c r="Q93" i="1"/>
  <c r="X93" i="1" s="1"/>
  <c r="V93" i="1"/>
  <c r="Q89" i="1"/>
  <c r="X89" i="1" s="1"/>
  <c r="V89" i="1"/>
  <c r="Q85" i="1"/>
  <c r="X85" i="1" s="1"/>
  <c r="V85" i="1"/>
  <c r="Q81" i="1"/>
  <c r="X81" i="1" s="1"/>
  <c r="V81" i="1"/>
  <c r="Q77" i="1"/>
  <c r="X77" i="1" s="1"/>
  <c r="V77" i="1"/>
  <c r="Q73" i="1"/>
  <c r="X73" i="1" s="1"/>
  <c r="V73" i="1"/>
  <c r="Q69" i="1"/>
  <c r="X69" i="1" s="1"/>
  <c r="V69" i="1"/>
  <c r="Q65" i="1"/>
  <c r="X65" i="1" s="1"/>
  <c r="V65" i="1"/>
  <c r="Q61" i="1"/>
  <c r="X61" i="1" s="1"/>
  <c r="V61" i="1"/>
  <c r="Q57" i="1"/>
  <c r="X57" i="1" s="1"/>
  <c r="V57" i="1"/>
  <c r="Q53" i="1"/>
  <c r="X53" i="1" s="1"/>
  <c r="V53" i="1"/>
  <c r="Q49" i="1"/>
  <c r="X49" i="1" s="1"/>
  <c r="V49" i="1"/>
  <c r="Q45" i="1"/>
  <c r="X45" i="1" s="1"/>
  <c r="V45" i="1"/>
  <c r="Q41" i="1"/>
  <c r="X41" i="1" s="1"/>
  <c r="V41" i="1"/>
  <c r="Q37" i="1"/>
  <c r="X37" i="1" s="1"/>
  <c r="V37" i="1"/>
  <c r="Q33" i="1"/>
  <c r="X33" i="1" s="1"/>
  <c r="V33" i="1"/>
  <c r="Q29" i="1"/>
  <c r="X29" i="1" s="1"/>
  <c r="V29" i="1"/>
  <c r="Q25" i="1"/>
  <c r="X25" i="1" s="1"/>
  <c r="V25" i="1"/>
  <c r="Q21" i="1"/>
  <c r="X21" i="1" s="1"/>
  <c r="V21" i="1"/>
  <c r="Q17" i="1"/>
  <c r="X17" i="1" s="1"/>
  <c r="V17" i="1"/>
  <c r="Q13" i="1"/>
  <c r="X13" i="1" s="1"/>
  <c r="V13" i="1"/>
  <c r="Q9" i="1"/>
  <c r="X9" i="1" s="1"/>
  <c r="V9" i="1"/>
  <c r="Q5" i="1"/>
  <c r="X5" i="1" s="1"/>
  <c r="V5" i="1"/>
  <c r="Q1" i="1"/>
  <c r="X1" i="1" s="1"/>
  <c r="V1" i="1"/>
</calcChain>
</file>

<file path=xl/sharedStrings.xml><?xml version="1.0" encoding="utf-8"?>
<sst xmlns="http://schemas.openxmlformats.org/spreadsheetml/2006/main" count="1032" uniqueCount="407">
  <si>
    <t>character</t>
  </si>
  <si>
    <t>varying(50),</t>
  </si>
  <si>
    <t>Impianto</t>
  </si>
  <si>
    <t>OdL</t>
  </si>
  <si>
    <t>Descr_PG</t>
  </si>
  <si>
    <t>Descr_Testo</t>
  </si>
  <si>
    <t>Equipment</t>
  </si>
  <si>
    <t>Meccanica</t>
  </si>
  <si>
    <t>boolean,</t>
  </si>
  <si>
    <t>Strumentale</t>
  </si>
  <si>
    <t>Elettrica</t>
  </si>
  <si>
    <t>Edile</t>
  </si>
  <si>
    <t>A fuoco</t>
  </si>
  <si>
    <t>In quota</t>
  </si>
  <si>
    <t>Scavo</t>
  </si>
  <si>
    <t>In spazi confinati</t>
  </si>
  <si>
    <t>Coibentazione/Scoibentazione</t>
  </si>
  <si>
    <t>Ciecatura/rimozione</t>
  </si>
  <si>
    <t>Pulizia/facchinaggio</t>
  </si>
  <si>
    <t>Verniciatura</t>
  </si>
  <si>
    <t>Sabbiatura</t>
  </si>
  <si>
    <t>Aggottamento</t>
  </si>
  <si>
    <t>Altro_sez1_TipoLavoro1_testo</t>
  </si>
  <si>
    <t>varying(255),</t>
  </si>
  <si>
    <t>Altro_sez1_TipoLavoro2_testo</t>
  </si>
  <si>
    <t>Descrizione_lavoro</t>
  </si>
  <si>
    <t>Ossigeno</t>
  </si>
  <si>
    <t>Azoto</t>
  </si>
  <si>
    <t>Argon</t>
  </si>
  <si>
    <t>Liquidi Criogenici</t>
  </si>
  <si>
    <t>Metano o gas naturale</t>
  </si>
  <si>
    <t>Idrocarburi</t>
  </si>
  <si>
    <t>Perlite</t>
  </si>
  <si>
    <t>Butano</t>
  </si>
  <si>
    <t>SynGas</t>
  </si>
  <si>
    <t>Idrogeno</t>
  </si>
  <si>
    <t>DMDS</t>
  </si>
  <si>
    <t>Oli</t>
  </si>
  <si>
    <t>Altro_sez1_Prodotti1_testo</t>
  </si>
  <si>
    <t>Rumore</t>
  </si>
  <si>
    <t>Alta Temperatura</t>
  </si>
  <si>
    <t>Pressione</t>
  </si>
  <si>
    <t>Altezza</t>
  </si>
  <si>
    <t>Criogenia / bassa temperatura</t>
  </si>
  <si>
    <t>Parti in movimento</t>
  </si>
  <si>
    <t>Appar/cavi elettrici</t>
  </si>
  <si>
    <t>Prodotti chimici</t>
  </si>
  <si>
    <t>Materiali infiammabili</t>
  </si>
  <si>
    <t>Altro_sez1_Attivita1_testo</t>
  </si>
  <si>
    <t>Intercettare</t>
  </si>
  <si>
    <t>Depressurizzare</t>
  </si>
  <si>
    <t>Vuotare</t>
  </si>
  <si>
    <t>Doppie valvole chiuse</t>
  </si>
  <si>
    <t>Spurghi aperti</t>
  </si>
  <si>
    <t>Spurghi chiusi</t>
  </si>
  <si>
    <t>Vent aperti</t>
  </si>
  <si>
    <t>Vent chiusi</t>
  </si>
  <si>
    <t>Sconnettere linee</t>
  </si>
  <si>
    <t>Sflangiare</t>
  </si>
  <si>
    <t>Controllare Pressione</t>
  </si>
  <si>
    <t>Controllare Temperatura</t>
  </si>
  <si>
    <t>Areare</t>
  </si>
  <si>
    <t>Doppia valvola chiusa e spurgo intermedio aperto</t>
  </si>
  <si>
    <t>Lavare con prodotti compatibili alimentare /farmaceutico</t>
  </si>
  <si>
    <t>Predisporre cartelli divieto manovra</t>
  </si>
  <si>
    <t>Predisporre illuminazione</t>
  </si>
  <si>
    <t>Predisporre attrezzature antincendio</t>
  </si>
  <si>
    <t>Localizzare linee interrate</t>
  </si>
  <si>
    <t>Applicare segnaletica</t>
  </si>
  <si>
    <t>Tripode</t>
  </si>
  <si>
    <t>Proteggere fogne</t>
  </si>
  <si>
    <t>Ponteggio - Piano di lavoro</t>
  </si>
  <si>
    <t>Piattaforma</t>
  </si>
  <si>
    <t>Delimitare zona lavoro</t>
  </si>
  <si>
    <t>Squadra di soccorso in stand-by</t>
  </si>
  <si>
    <t>Insufflare azoto</t>
  </si>
  <si>
    <t>Insufflare aria</t>
  </si>
  <si>
    <t>PdL1_nr</t>
  </si>
  <si>
    <t>Ciecatura</t>
  </si>
  <si>
    <t>Scheda_ciecatura_nr</t>
  </si>
  <si>
    <t>Rimozione temporanea EIS</t>
  </si>
  <si>
    <t>Scheda_EIS_nr</t>
  </si>
  <si>
    <t>Messa in sicurezza elettrica</t>
  </si>
  <si>
    <t>Messa_in_sicurezza_elettrica_testo</t>
  </si>
  <si>
    <t>Consegna - verifica - accettazione</t>
  </si>
  <si>
    <t>LI_MOD_47</t>
  </si>
  <si>
    <t>Interferenza LI-MOD 40 - LI/SR MOD 89</t>
  </si>
  <si>
    <t>boolean</t>
  </si>
  <si>
    <t>DEFAULT</t>
  </si>
  <si>
    <t>true,</t>
  </si>
  <si>
    <t>Lavare con</t>
  </si>
  <si>
    <t>Lavare_con_testo</t>
  </si>
  <si>
    <t>Bonificare con</t>
  </si>
  <si>
    <t>Bonificare_con_testo</t>
  </si>
  <si>
    <t>text,</t>
  </si>
  <si>
    <t>Predisporre manichette con</t>
  </si>
  <si>
    <t>Predisporre_manichette_con_test</t>
  </si>
  <si>
    <t>Altro_sez1_Prescrizioni_sic1_testo</t>
  </si>
  <si>
    <t>Produzione rifiuti pericolosi</t>
  </si>
  <si>
    <t>Produzione rifiuti non pericolosi</t>
  </si>
  <si>
    <t>Rischio spandimento</t>
  </si>
  <si>
    <t>Emissioni in atmosfera</t>
  </si>
  <si>
    <t>Precauzioni da adottare</t>
  </si>
  <si>
    <t>Tuta da lavoro</t>
  </si>
  <si>
    <t>false,</t>
  </si>
  <si>
    <t>Scarpe di sicurezza</t>
  </si>
  <si>
    <t>Guanti</t>
  </si>
  <si>
    <t>Occhiali</t>
  </si>
  <si>
    <t>Elmetto</t>
  </si>
  <si>
    <t>Maschera antipolvere</t>
  </si>
  <si>
    <t>Maschera antigas</t>
  </si>
  <si>
    <t>Autorespiratore</t>
  </si>
  <si>
    <t>Visiera di protezione</t>
  </si>
  <si>
    <t>Protezioni auricolari</t>
  </si>
  <si>
    <t>Rilevatore ossigeno</t>
  </si>
  <si>
    <t>Esplosimetro</t>
  </si>
  <si>
    <t>Indumenti ignifughi speciali</t>
  </si>
  <si>
    <t>Stivali antifortunistici</t>
  </si>
  <si>
    <t>Imbrac/Cintura di sicurezza</t>
  </si>
  <si>
    <t>Guanti protettivi per agenti chimici</t>
  </si>
  <si>
    <t>Protezione viso e corpo per agenti chimici</t>
  </si>
  <si>
    <t>Guanti protezione per alte temperature</t>
  </si>
  <si>
    <t>Guanti criogenici</t>
  </si>
  <si>
    <t>Guanti dielettrici</t>
  </si>
  <si>
    <t>Elmetto dielettrico</t>
  </si>
  <si>
    <t>Ulteriori prescrizioni di sicurezza da adottare</t>
  </si>
  <si>
    <t>Data_sez1</t>
  </si>
  <si>
    <t>timestamp</t>
  </si>
  <si>
    <t>without</t>
  </si>
  <si>
    <t>time</t>
  </si>
  <si>
    <t>zone</t>
  </si>
  <si>
    <t>now(),</t>
  </si>
  <si>
    <t>Responsabile_Centrale_Delegato</t>
  </si>
  <si>
    <t>Personale_interno</t>
  </si>
  <si>
    <t>Personale_esterno</t>
  </si>
  <si>
    <t>Impresa_Testo</t>
  </si>
  <si>
    <t>Cassetta attrezzi</t>
  </si>
  <si>
    <t>Mola</t>
  </si>
  <si>
    <t>Taglia tubi</t>
  </si>
  <si>
    <t>Elettrosaldatrice</t>
  </si>
  <si>
    <t>Motosaldatrice</t>
  </si>
  <si>
    <t>Paranco</t>
  </si>
  <si>
    <t>Trapano elettrico</t>
  </si>
  <si>
    <t>Trapano a tenuta</t>
  </si>
  <si>
    <t>Sabbiatrice</t>
  </si>
  <si>
    <t>Attrezzi antiscintilla</t>
  </si>
  <si>
    <t>Carroponte</t>
  </si>
  <si>
    <t>Escavatrice</t>
  </si>
  <si>
    <t>Lancia acqua in pressione</t>
  </si>
  <si>
    <t>Trapano pneumatico</t>
  </si>
  <si>
    <t>Cannello ossiacetilenico</t>
  </si>
  <si>
    <t>Utensili a tensione di sicurezza</t>
  </si>
  <si>
    <t>Attrezzature lavaggi chimici</t>
  </si>
  <si>
    <t>Attrezzature per radiografie</t>
  </si>
  <si>
    <t>Automezzo</t>
  </si>
  <si>
    <t>Carrello elevatore</t>
  </si>
  <si>
    <t>Motopompa</t>
  </si>
  <si>
    <t>Autospurgo</t>
  </si>
  <si>
    <t>Scovolatrice</t>
  </si>
  <si>
    <t>Motocompressore</t>
  </si>
  <si>
    <t>Altra attrezzatura</t>
  </si>
  <si>
    <t>Preparaz_del lavoro precauzioni previste durante l'esecuzione</t>
  </si>
  <si>
    <t>Rischi specifici att_ indicaz_dei mezzi protezione previsti</t>
  </si>
  <si>
    <t>Nome_Cognome_Preposto_Impresa</t>
  </si>
  <si>
    <t>Nome_Cognome_Delegato_lavori_AL</t>
  </si>
  <si>
    <t>Stato_Permesso</t>
  </si>
  <si>
    <t>varying(50)</t>
  </si>
  <si>
    <t>'0'::character</t>
  </si>
  <si>
    <t>varying,</t>
  </si>
  <si>
    <t>Descrizione della sospensione</t>
  </si>
  <si>
    <t>Area ripulita</t>
  </si>
  <si>
    <t>Area ripulita_testo</t>
  </si>
  <si>
    <t>Capo Turno</t>
  </si>
  <si>
    <t>Data chiusura</t>
  </si>
  <si>
    <t>zone,</t>
  </si>
  <si>
    <t>Convalida</t>
  </si>
  <si>
    <t>Ponteggio</t>
  </si>
  <si>
    <t>Vapore</t>
  </si>
  <si>
    <t>Permesso di accesso</t>
  </si>
  <si>
    <t>LOTO</t>
  </si>
  <si>
    <t>LOTO testo</t>
  </si>
  <si>
    <t>Solo Tag-out</t>
  </si>
  <si>
    <t>Altro_sez1_Prescrizioni_sic2_testo</t>
  </si>
  <si>
    <t>TA</t>
  </si>
  <si>
    <t>Anno_TA</t>
  </si>
  <si>
    <t>integer</t>
  </si>
  <si>
    <t>Data attivo</t>
  </si>
  <si>
    <t>Ora attivo</t>
  </si>
  <si>
    <t>Ora chiusura</t>
  </si>
  <si>
    <t>Posizione in planimteria</t>
  </si>
  <si>
    <t>Stampa_turno</t>
  </si>
  <si>
    <t>Cod_MOD70</t>
  </si>
  <si>
    <t>Comp_MOD70</t>
  </si>
  <si>
    <t>Valuta_interferenza</t>
  </si>
  <si>
    <t>Prima_valutazione</t>
  </si>
  <si>
    <t>Successiva_valutazione</t>
  </si>
  <si>
    <t>Distanza_sicurezza_si</t>
  </si>
  <si>
    <t>Distanza_sicurezza_no</t>
  </si>
  <si>
    <t>Coordinatore_MOD70</t>
  </si>
  <si>
    <t>Ora_MOD70</t>
  </si>
  <si>
    <t>Data_MOD70</t>
  </si>
  <si>
    <t>PdL n°</t>
  </si>
  <si>
    <t>Autogrù</t>
  </si>
  <si>
    <t>Prova di abitabilità</t>
  </si>
  <si>
    <t>Prova di esplosività</t>
  </si>
  <si>
    <t>Eseguire dopo completamento e chiusura permessi n°</t>
  </si>
  <si>
    <t>IMPIANTO</t>
  </si>
  <si>
    <t>ODL</t>
  </si>
  <si>
    <t>DESCR_PG</t>
  </si>
  <si>
    <t>DESCR_TESTO</t>
  </si>
  <si>
    <t>EQUIPMENT</t>
  </si>
  <si>
    <t>ALTRO_SEZ1_TIPOLAVORO1_TESTO</t>
  </si>
  <si>
    <t>ALTRO_SEZ1_TIPOLAVORO2_TESTO</t>
  </si>
  <si>
    <t>DESCRIZIONE_LAVORO</t>
  </si>
  <si>
    <t>ALTRO_SEZ1_PRODOTTI1_TESTO</t>
  </si>
  <si>
    <t>ALTRO_SEZ1_ATTIVITA1_TESTO</t>
  </si>
  <si>
    <t>PDL1_NR</t>
  </si>
  <si>
    <t>SCHEDA_CIECATURA_NR</t>
  </si>
  <si>
    <t>SCHEDA_EIS_NR</t>
  </si>
  <si>
    <t>MESSA_IN_SICUREZZA_ELETTRICA_TESTO</t>
  </si>
  <si>
    <t>LAVARE_CON_TESTO</t>
  </si>
  <si>
    <t>BONIFICARE_CON_TESTO</t>
  </si>
  <si>
    <t>PREDISPORRE_MANICHETTE_CON_TEST</t>
  </si>
  <si>
    <t>ALTRO_SEZ1_PRESCRIZIONI_SIC1_TESTO</t>
  </si>
  <si>
    <t>PRECAUZIONI_DA_ADOTTARE</t>
  </si>
  <si>
    <t>ULTERIORI_PRESCRIZIONI_DI_SICUREZZA_DA_ADOTTARE</t>
  </si>
  <si>
    <t>DATA_SEZ1</t>
  </si>
  <si>
    <t>RESPONSABILE_CENTRALE_DELEGATO</t>
  </si>
  <si>
    <t>IMPRESA_TESTO</t>
  </si>
  <si>
    <t>ALTRA_ATTREZZATURA</t>
  </si>
  <si>
    <t>RISCHI_SPECIFICI_ATT_INDICAZ_DEI_MEZZI_PROTEZIONE_PREVISTI</t>
  </si>
  <si>
    <t>NOME_COGNOME_PREPOSTO_IMPRESA</t>
  </si>
  <si>
    <t>NOME_COGNOME_DELEGATO_LAVORI_AL</t>
  </si>
  <si>
    <t>STATO_PERMESSO</t>
  </si>
  <si>
    <t>DESCRIZIONE_DELLA_SOSPENSIONE</t>
  </si>
  <si>
    <t>AREA_RIPULITA_TESTO</t>
  </si>
  <si>
    <t>CAPO_TURNO</t>
  </si>
  <si>
    <t>DATA_CHIUSURA</t>
  </si>
  <si>
    <t>LOTO_TESTO</t>
  </si>
  <si>
    <t>ALTRO_SEZ1_PRESCRIZIONI_SIC2_TESTO</t>
  </si>
  <si>
    <t>ANNO_TA</t>
  </si>
  <si>
    <t>DATA_ATTIVO</t>
  </si>
  <si>
    <t>ORA_ATTIVO</t>
  </si>
  <si>
    <t>ORA_CHIUSURA</t>
  </si>
  <si>
    <t>POSIZIONE_IN_PLANIMTERIA</t>
  </si>
  <si>
    <t>COD_MOD70</t>
  </si>
  <si>
    <t>COORDINATORE_MOD70</t>
  </si>
  <si>
    <t>ORA_MOD70</t>
  </si>
  <si>
    <t>DATA_MOD70</t>
  </si>
  <si>
    <t>NR_PDL</t>
  </si>
  <si>
    <t>FLG_MECCANICA</t>
  </si>
  <si>
    <t>FLG_STRUMENTALE</t>
  </si>
  <si>
    <t>FLG_ELETTRICA</t>
  </si>
  <si>
    <t>FLG_EDILE</t>
  </si>
  <si>
    <t>FLG_A_FUOCO</t>
  </si>
  <si>
    <t>FLG_IN_QUOTA</t>
  </si>
  <si>
    <t>FLG_SCAVO</t>
  </si>
  <si>
    <t>FLG_IN_SPAZI_CONFINATI</t>
  </si>
  <si>
    <t>FLG_COIBENTAZIONE_SCOIBENTAZIONE</t>
  </si>
  <si>
    <t>FLG_CIECATURA_RIMOZIONE</t>
  </si>
  <si>
    <t>FLG_PULIZIA_FACCHINAGGIO</t>
  </si>
  <si>
    <t>FLG_VERNICIATURA</t>
  </si>
  <si>
    <t>FLG_SABBIATURA</t>
  </si>
  <si>
    <t>FLG_AGGOTTAMENTO</t>
  </si>
  <si>
    <t>FLG_OSSIGENO</t>
  </si>
  <si>
    <t>FLG_AZOTO</t>
  </si>
  <si>
    <t>FLG_ARGON</t>
  </si>
  <si>
    <t>FLG_LIQUIDI_CRIOGENICI</t>
  </si>
  <si>
    <t>FLG_METANO_O_GAS_NATURALE</t>
  </si>
  <si>
    <t>FLG_IDROCARBURI</t>
  </si>
  <si>
    <t>FLG_PERLITE</t>
  </si>
  <si>
    <t>FLG_BUTANO</t>
  </si>
  <si>
    <t>FLG_SYNGAS</t>
  </si>
  <si>
    <t>FLG_IDROGENO</t>
  </si>
  <si>
    <t>FLG_DMDS</t>
  </si>
  <si>
    <t>FLG_OLI</t>
  </si>
  <si>
    <t>FLG_RUMORE</t>
  </si>
  <si>
    <t>FLG_ALTA_TEMPERATURA</t>
  </si>
  <si>
    <t>FLG_PRESSIONE</t>
  </si>
  <si>
    <t>FLG_ALTEZZA</t>
  </si>
  <si>
    <t>FLG_CRIOGENIA_BASSA_TEMPERATURA</t>
  </si>
  <si>
    <t>FLG_PARTI_IN_MOVIMENTO</t>
  </si>
  <si>
    <t>FLG_APPAR_CAVI_ELETTRICI</t>
  </si>
  <si>
    <t>FLG_PRODOTTI_CHIMICI</t>
  </si>
  <si>
    <t>FLG_MATERIALI_INFIAMMABILI</t>
  </si>
  <si>
    <t>FLG_INTERCETTARE</t>
  </si>
  <si>
    <t>FLG_DEPRESSURIZZARE</t>
  </si>
  <si>
    <t>FLG_VUOTARE</t>
  </si>
  <si>
    <t>FLG_DOPPIE_VALVOLE_CHIUSE</t>
  </si>
  <si>
    <t>FLG_SPURGHI_APERTI</t>
  </si>
  <si>
    <t>FLG_SPURGHI_CHIUSI</t>
  </si>
  <si>
    <t>FLG_VENT_APERTI</t>
  </si>
  <si>
    <t>FLG_VENT_CHIUSI</t>
  </si>
  <si>
    <t>FLG_SCONNETTERE_LINEE</t>
  </si>
  <si>
    <t>FLG_SFLANGIARE</t>
  </si>
  <si>
    <t>FLG_CONTROLLARE_PRESSIONE</t>
  </si>
  <si>
    <t>FLG_CONTROLLARE_TEMPERATURA</t>
  </si>
  <si>
    <t>FLG_AREARE</t>
  </si>
  <si>
    <t>FLG_DOPPIA_VALVOLA_CHIUSA_E_SPURGO_INTERMEDIO_APERTO</t>
  </si>
  <si>
    <t>FLG_LAVARE_CON_PRODOTTI_COMPATIBILI_ALIMENTARE_FARMACEUTICO</t>
  </si>
  <si>
    <t>FLG_PREDISPORRE_CARTELLI_DIVIETO_MANOVRA</t>
  </si>
  <si>
    <t>FLG_PREDISPORRE_ILLUMINAZIONE</t>
  </si>
  <si>
    <t>FLG_PREDISPORRE_ATTREZZATURE_ANTINCENDIO</t>
  </si>
  <si>
    <t>FLG_LOCALIZZARE_LINEE_INTERRATE</t>
  </si>
  <si>
    <t>FLG_APPLICARE_SEGNALETICA</t>
  </si>
  <si>
    <t>FLG_TRIPODE</t>
  </si>
  <si>
    <t>FLG_PROTEGGERE_FOGNE</t>
  </si>
  <si>
    <t>FLG_PONTEGGIO_PIANO_DI_LAVORO</t>
  </si>
  <si>
    <t>FLG_PIATTAFORMA</t>
  </si>
  <si>
    <t>FLG_DELIMITARE_ZONA_LAVORO</t>
  </si>
  <si>
    <t>FLG_SQUADRA_DI_SOCCORSO_IN_STAND_BY</t>
  </si>
  <si>
    <t>FLG_INSUFFLARE_AZOTO</t>
  </si>
  <si>
    <t>FLG_INSUFFLARE_ARIA</t>
  </si>
  <si>
    <t>FLG_ESEGUIRE_DOPO_COMPLETAMENTO_E_CHIUSURA_PERMESSI_N</t>
  </si>
  <si>
    <t>FLG_CIECATURA</t>
  </si>
  <si>
    <t>FLG_RIMOZIONE_TEMPORANEA_EIS</t>
  </si>
  <si>
    <t>FLG_MESSA_IN_SICUREZZA_ELETTRICA</t>
  </si>
  <si>
    <t>FLG_PROVA_DI_ABITABILITA</t>
  </si>
  <si>
    <t>FLG_PROVA_DI_ESPLOSIVITA</t>
  </si>
  <si>
    <t>FLG_CONSEGNA_VERIFICA_ACCETTAZIONE</t>
  </si>
  <si>
    <t>FLG_INTERFERENZA_LI_MOD_40_LI_SR_MOD_89</t>
  </si>
  <si>
    <t>FLG_LAVARE_CON</t>
  </si>
  <si>
    <t>FLG_BONIFICARE_CON</t>
  </si>
  <si>
    <t>FLG_PREDISPORRE_MANICHETTE_CON</t>
  </si>
  <si>
    <t>FLG_PRODUZIONE_RIFIUTI_PERICOLOSI</t>
  </si>
  <si>
    <t>FLG_PRODUZIONE_RIFIUTI_NON_PERICOLOSI</t>
  </si>
  <si>
    <t>FLG_RISCHIO_SPANDIMENTO</t>
  </si>
  <si>
    <t>FLG_EMISSIONI_IN_ATMOSFERA</t>
  </si>
  <si>
    <t>FLG_TUTA_DA_LAVORO</t>
  </si>
  <si>
    <t>FLG_SCARPE_DI_SICUREZZA</t>
  </si>
  <si>
    <t>FLG_GUANTI</t>
  </si>
  <si>
    <t>FLG_OCCHIALI</t>
  </si>
  <si>
    <t>FLG_ELMETTO</t>
  </si>
  <si>
    <t>FLG_MASCHERA_ANTIPOLVERE</t>
  </si>
  <si>
    <t>FLG_MASCHERA_ANTIGAS</t>
  </si>
  <si>
    <t>FLG_AUTORESPIRATORE</t>
  </si>
  <si>
    <t>FLG_VISIERA_DI_PROTEZIONE</t>
  </si>
  <si>
    <t>FLG_PROTEZIONI_AURICOLARI</t>
  </si>
  <si>
    <t>FLG_RILEVATORE_OSSIGENO</t>
  </si>
  <si>
    <t>FLG_ESPLOSIMETRO</t>
  </si>
  <si>
    <t>FLG_INDUMENTI_IGNIFUGHI_SPECIALI</t>
  </si>
  <si>
    <t>FLG_STIVALI_ANTIFORTUNISTICI</t>
  </si>
  <si>
    <t>FLG_IMBRAC_CINTURA_DI_SICUREZZA</t>
  </si>
  <si>
    <t>FLG_GUANTI_PROTETTIVI_PER_AGENTI_CHIMICI</t>
  </si>
  <si>
    <t>FLG_PROTEZIONE_VISO_E_CORPO_PER_AGENTI_CHIMICI</t>
  </si>
  <si>
    <t>FLG_GUANTI_PROTEZIONE_PER_ALTE_TEMPERATURE</t>
  </si>
  <si>
    <t>FLG_GUANTI_CRIOGENICI</t>
  </si>
  <si>
    <t>FLG_GUANTI_DIELETTRICI</t>
  </si>
  <si>
    <t>FLG_ELMETTO_DIELETTRICO</t>
  </si>
  <si>
    <t>FLG_PERSONALE_INTERNO</t>
  </si>
  <si>
    <t>FLG_PERSONALE_ESTERNO</t>
  </si>
  <si>
    <t>FLG_CASSETTA_ATTREZZI</t>
  </si>
  <si>
    <t>FLG_MOLA</t>
  </si>
  <si>
    <t>FLG_TAGLIA_TUBI</t>
  </si>
  <si>
    <t>FLG_ELETTROSALDATRICE</t>
  </si>
  <si>
    <t>FLG_MOTOSALDATRICE</t>
  </si>
  <si>
    <t>FLG_PARANCO</t>
  </si>
  <si>
    <t>FLG_TRAPANO_ELETTRICO</t>
  </si>
  <si>
    <t>FLG_TRAPANO_A_TENUTA</t>
  </si>
  <si>
    <t>FLG_SABBIATRICE</t>
  </si>
  <si>
    <t>FLG_ATTREZZI_ANTISCINTILLA</t>
  </si>
  <si>
    <t>FLG_CARROPONTE</t>
  </si>
  <si>
    <t>FLG_ESCAVATRICE</t>
  </si>
  <si>
    <t>FLG_LANCIA_ACQUA_IN_PRESSIONE</t>
  </si>
  <si>
    <t>FLG_TRAPANO_PNEUMATICO</t>
  </si>
  <si>
    <t>FLG_CANNELLO_OSSIACETILENICO</t>
  </si>
  <si>
    <t>FLG_UTENSILI_A_TENSIONE_DI_SICUREZZA</t>
  </si>
  <si>
    <t>FLG_ATTREZZATURE_LAVAGGI_CHIMICI</t>
  </si>
  <si>
    <t>FLG_ATTREZZATURE_PER_RADIOGRAFIE</t>
  </si>
  <si>
    <t>FLG_AUTOGRU</t>
  </si>
  <si>
    <t>FLG_AUTOMEZZO</t>
  </si>
  <si>
    <t>FLG_CARRELLO_ELEVATORE</t>
  </si>
  <si>
    <t>FLG_MOTOPOMPA</t>
  </si>
  <si>
    <t>FLG_AUTOSPURGO</t>
  </si>
  <si>
    <t>FLG_SCOVOLATRICE</t>
  </si>
  <si>
    <t>FLG_MOTOCOMPRESSORE</t>
  </si>
  <si>
    <t>FLG_AREA_RIPULITA</t>
  </si>
  <si>
    <t>FLG_CONVALIDA</t>
  </si>
  <si>
    <t>FLG_PONTEGGIO</t>
  </si>
  <si>
    <t>FLG_VAPORE</t>
  </si>
  <si>
    <t>FLG_PERMESSO_DI_ACCESSO</t>
  </si>
  <si>
    <t>FLG_LOTO</t>
  </si>
  <si>
    <t>FLG_SOLO_TAG_OUT</t>
  </si>
  <si>
    <t>FLG_TA</t>
  </si>
  <si>
    <t>FLG_STAMPA_TURNO</t>
  </si>
  <si>
    <t>FLG_COMP_MOD70</t>
  </si>
  <si>
    <t>FLG_VALUTA_INTERFERENZA</t>
  </si>
  <si>
    <t>FLG_PRIMA_VALUTAZIONE</t>
  </si>
  <si>
    <t>FLG_SUCCESSIVA_VALUTAZIONE</t>
  </si>
  <si>
    <t>FLG_DISTANZA_SICUREZZA_SI</t>
  </si>
  <si>
    <t>FLG_DISTANZA_SICUREZZA_NO</t>
  </si>
  <si>
    <t>PREPARAZ_DEL_LAVORO_PRECAUZIONI_PREVISTE_DURANTE_LESECUZIONE</t>
  </si>
  <si>
    <t>Prova_di_abitabilità_testo</t>
  </si>
  <si>
    <t>Prova di esplosività_testo</t>
  </si>
  <si>
    <t>PROVA_DI_ABITABILITA_TESTO</t>
  </si>
  <si>
    <t>PROVA_DI_ESPLOSIVITA_TESTO</t>
  </si>
  <si>
    <t>x</t>
  </si>
  <si>
    <t xml:space="preserve">character varying(50),    </t>
  </si>
  <si>
    <t xml:space="preserve">boolean,     </t>
  </si>
  <si>
    <t xml:space="preserve">character varying(255),    </t>
  </si>
  <si>
    <t xml:space="preserve">boolean DEFAULT true,   </t>
  </si>
  <si>
    <t xml:space="preserve">text,     </t>
  </si>
  <si>
    <t xml:space="preserve">boolean DEFAULT false,   </t>
  </si>
  <si>
    <t>timestamp without time zone DEFAULT now(),</t>
  </si>
  <si>
    <t xml:space="preserve">character varying(50) DEFAULT '0'::character varying, </t>
  </si>
  <si>
    <t xml:space="preserve">timestamp without time zone,  </t>
  </si>
  <si>
    <t xml:space="preserve">integer DEFAULT 0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</si>
</sst>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0" fillId="33" borderId="0" xfId="0" applyFill="1"/>
    <xf numFmtId="49" fontId="0" fillId="33" borderId="0" xfId="0" applyNumberFormat="1" applyFill="1"/>
    <xf numFmtId="49" fontId="0" fillId="0" borderId="0" xfId="0" applyNumberFormat="1" applyFill="1"/>
    <xf numFmtId="0" fontId="0" fillId="0" borderId="0" xfId="0" applyFill="1"/>
    <xf numFmtId="0" fontId="0" fillId="34" borderId="0" xfId="0" applyFill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89"/>
  <sheetViews>
    <sheetView tabSelected="1" topLeftCell="E145" zoomScale="85" zoomScaleNormal="85" workbookViewId="0">
      <selection activeCell="M168" sqref="M168"/>
    </sheetView>
  </sheetViews>
  <sheetFormatPr defaultRowHeight="15" x14ac:dyDescent="0.25"/>
  <cols>
    <col min="1" max="1" width="57.42578125" bestFit="1" customWidth="1"/>
    <col min="2" max="2" width="49.42578125" bestFit="1" customWidth="1"/>
    <col min="3" max="3" width="7.85546875" bestFit="1" customWidth="1"/>
    <col min="4" max="4" width="7.85546875" customWidth="1"/>
    <col min="6" max="6" width="12.42578125" bestFit="1" customWidth="1"/>
    <col min="7" max="7" width="8.7109375" bestFit="1" customWidth="1"/>
    <col min="8" max="8" width="12.140625" bestFit="1" customWidth="1"/>
    <col min="9" max="9" width="8.7109375" bestFit="1" customWidth="1"/>
    <col min="11" max="12" width="49.42578125" bestFit="1" customWidth="1"/>
    <col min="13" max="14" width="69.42578125" bestFit="1" customWidth="1"/>
    <col min="15" max="15" width="161.5703125" bestFit="1" customWidth="1"/>
    <col min="16" max="16" width="82.5703125" customWidth="1"/>
    <col min="17" max="17" width="69.5703125" bestFit="1" customWidth="1"/>
    <col min="18" max="18" width="100.5703125" customWidth="1"/>
    <col min="19" max="21" width="31.28515625" customWidth="1"/>
    <col min="22" max="22" width="45.42578125" customWidth="1"/>
    <col min="23" max="23" width="31.28515625" customWidth="1"/>
  </cols>
  <sheetData>
    <row r="1" spans="1:24" x14ac:dyDescent="0.25">
      <c r="A1" s="1" t="s">
        <v>201</v>
      </c>
      <c r="B1" t="str">
        <f>CONCATENATE(",""",A1,"""")</f>
        <v>,"PdL n°"</v>
      </c>
      <c r="C1" s="1" t="s">
        <v>249</v>
      </c>
      <c r="D1" s="1"/>
      <c r="E1" t="s">
        <v>0</v>
      </c>
      <c r="F1" t="s">
        <v>1</v>
      </c>
      <c r="K1" t="str">
        <f>CONCATENATE(E1," ",F1," ",G1," ",H1," ",I1," ",J1)</f>
        <v xml:space="preserve">character varying(50),    </v>
      </c>
      <c r="L1" t="s">
        <v>397</v>
      </c>
      <c r="M1" t="str">
        <f t="shared" ref="M1:M32" si="0">CONCATENATE(IF(E1="boolean,","FLG_",""),IF(E1="boolean","FLG_",""),IF(C1&lt;&gt;"",C1,SUBSTITUTE(SUBSTITUTE(UPPER(SUBSTITUTE(SUBSTITUTE(SUBSTITUTE(SUBSTITUTE(SUBSTITUTE(SUBSTITUTE(SUBSTITUTE(A1,"'",""),"-","_"),"à","a"),"ù","u"),"/","_"),"°","")," ","_")),"__","_"),"__","_")))</f>
        <v>NR_PDL</v>
      </c>
      <c r="N1" t="s">
        <v>249</v>
      </c>
      <c r="O1" t="str">
        <f t="shared" ref="O1:O32" si="1">CONCATENATE("ALTER TABLE TEMP_PDL RENAME """,A1,""" TO ",N1,";")</f>
        <v>ALTER TABLE TEMP_PDL RENAME "PdL n°" TO NR_PDL;</v>
      </c>
      <c r="P1" t="str">
        <f>IF(D1="x",CONCATENATE("ALTER TABLE PDL ADD COLUMN ",N1," ",SUBSTITUTE(L1,",",""),";"),"")</f>
        <v/>
      </c>
      <c r="Q1" t="str">
        <f>CONCATENATE(M1,",")</f>
        <v>NR_PDL,</v>
      </c>
      <c r="R1" t="str">
        <f>CONCATENATE("public static final String  ",N1," = """,N1,""";")</f>
        <v>public static final String  NR_PDL = "NR_PDL";</v>
      </c>
      <c r="S1" t="str">
        <f t="shared" ref="S1:S32" si="2">IF(E1="timestamp",CONCATENATE("addNoStringField(",N1,", Timestamp.class);"),"")</f>
        <v/>
      </c>
      <c r="T1" t="str">
        <f t="shared" ref="T1:T32" si="3">IF(MID(N1,1,3)="FLG","",CONCATENATE("$('#",N1,"').val('&lt;#if ",N1,"?exists&gt;${",N1,"}&lt;/#if&gt;')"))</f>
        <v>$('#NR_PDL').val('&lt;#if NR_PDL?exists&gt;${NR_PDL}&lt;/#if&gt;')</v>
      </c>
      <c r="V1" t="str">
        <f t="shared" ref="V1:V32" si="4">IF(MID(M1,1,3)="FLG",CONCATENATE("$('#",N1,"').val($('#",N1,"').is(':checked'));"),"")</f>
        <v/>
      </c>
      <c r="W1" t="str">
        <f t="shared" ref="W1:W32" si="5">IF(MID(N1,1,3)="FLG",CONCATENATE("$('#",N1,"').prop('checked','&lt;#if ",N1,"?exists &amp;&amp; ",N1,"!=''&gt;${",N1,"}&lt;#else&gt;true&lt;/#if&gt;'==='true')"),"")</f>
        <v/>
      </c>
      <c r="X1" t="str">
        <f t="shared" ref="X1:X32" si="6">IF(MID(Q1,1,3)="FLG",CONCATENATE("addNoStringField(",N1,", Boolean.class);"),"")</f>
        <v/>
      </c>
    </row>
    <row r="2" spans="1:24" x14ac:dyDescent="0.25">
      <c r="A2" s="1" t="s">
        <v>2</v>
      </c>
      <c r="B2" t="str">
        <f t="shared" ref="B2:B65" si="7">CONCATENATE(",""",A2,"""")</f>
        <v>,"Impianto"</v>
      </c>
      <c r="C2" s="1"/>
      <c r="D2" s="1" t="s">
        <v>396</v>
      </c>
      <c r="E2" t="s">
        <v>0</v>
      </c>
      <c r="F2" t="s">
        <v>1</v>
      </c>
      <c r="K2" t="str">
        <f t="shared" ref="K2:K65" si="8">CONCATENATE(E2," ",F2," ",G2," ",H2," ",I2," ",J2)</f>
        <v xml:space="preserve">character varying(50),    </v>
      </c>
      <c r="L2" t="s">
        <v>397</v>
      </c>
      <c r="M2" t="str">
        <f t="shared" si="0"/>
        <v>IMPIANTO</v>
      </c>
      <c r="N2" t="s">
        <v>206</v>
      </c>
      <c r="O2" t="str">
        <f t="shared" si="1"/>
        <v>ALTER TABLE TEMP_PDL RENAME "Impianto" TO IMPIANTO;</v>
      </c>
      <c r="P2" t="str">
        <f t="shared" ref="P2:P65" si="9">IF(D2="x",CONCATENATE("ALTER TABLE PDL ADD COLUMN ",N2," ",SUBSTITUTE(L2,",",""),";"),"")</f>
        <v>ALTER TABLE PDL ADD COLUMN IMPIANTO character varying(50)    ;</v>
      </c>
      <c r="Q2" t="str">
        <f t="shared" ref="Q2:Q65" si="10">CONCATENATE(M2,",")</f>
        <v>IMPIANTO,</v>
      </c>
      <c r="R2" t="str">
        <f t="shared" ref="R2:R65" si="11">CONCATENATE("public static final String  ",N2," = """,N2,""";")</f>
        <v>public static final String  IMPIANTO = "IMPIANTO";</v>
      </c>
      <c r="S2" t="str">
        <f t="shared" si="2"/>
        <v/>
      </c>
      <c r="T2" t="str">
        <f t="shared" si="3"/>
        <v>$('#IMPIANTO').val('&lt;#if IMPIANTO?exists&gt;${IMPIANTO}&lt;/#if&gt;')</v>
      </c>
      <c r="V2" t="str">
        <f t="shared" si="4"/>
        <v/>
      </c>
      <c r="W2" t="str">
        <f t="shared" si="5"/>
        <v/>
      </c>
      <c r="X2" t="str">
        <f t="shared" si="6"/>
        <v/>
      </c>
    </row>
    <row r="3" spans="1:24" x14ac:dyDescent="0.25">
      <c r="A3" s="1" t="s">
        <v>3</v>
      </c>
      <c r="B3" t="str">
        <f t="shared" si="7"/>
        <v>,"OdL"</v>
      </c>
      <c r="C3" s="1"/>
      <c r="D3" s="1" t="s">
        <v>396</v>
      </c>
      <c r="E3" t="s">
        <v>0</v>
      </c>
      <c r="F3" t="s">
        <v>1</v>
      </c>
      <c r="K3" t="str">
        <f t="shared" si="8"/>
        <v xml:space="preserve">character varying(50),    </v>
      </c>
      <c r="L3" t="s">
        <v>397</v>
      </c>
      <c r="M3" t="str">
        <f t="shared" si="0"/>
        <v>ODL</v>
      </c>
      <c r="N3" t="s">
        <v>207</v>
      </c>
      <c r="O3" t="str">
        <f t="shared" si="1"/>
        <v>ALTER TABLE TEMP_PDL RENAME "OdL" TO ODL;</v>
      </c>
      <c r="P3" t="str">
        <f t="shared" si="9"/>
        <v>ALTER TABLE PDL ADD COLUMN ODL character varying(50)    ;</v>
      </c>
      <c r="Q3" t="str">
        <f t="shared" si="10"/>
        <v>ODL,</v>
      </c>
      <c r="R3" t="str">
        <f t="shared" si="11"/>
        <v>public static final String  ODL = "ODL";</v>
      </c>
      <c r="S3" t="str">
        <f t="shared" si="2"/>
        <v/>
      </c>
      <c r="T3" t="str">
        <f t="shared" si="3"/>
        <v>$('#ODL').val('&lt;#if ODL?exists&gt;${ODL}&lt;/#if&gt;')</v>
      </c>
      <c r="V3" t="str">
        <f t="shared" si="4"/>
        <v/>
      </c>
      <c r="W3" t="str">
        <f t="shared" si="5"/>
        <v/>
      </c>
      <c r="X3" t="str">
        <f t="shared" si="6"/>
        <v/>
      </c>
    </row>
    <row r="4" spans="1:24" x14ac:dyDescent="0.25">
      <c r="A4" s="1" t="s">
        <v>4</v>
      </c>
      <c r="B4" t="str">
        <f t="shared" si="7"/>
        <v>,"Descr_PG"</v>
      </c>
      <c r="C4" s="1"/>
      <c r="D4" s="1" t="s">
        <v>396</v>
      </c>
      <c r="E4" t="s">
        <v>0</v>
      </c>
      <c r="F4" t="s">
        <v>1</v>
      </c>
      <c r="K4" t="str">
        <f t="shared" si="8"/>
        <v xml:space="preserve">character varying(50),    </v>
      </c>
      <c r="L4" t="s">
        <v>397</v>
      </c>
      <c r="M4" t="str">
        <f t="shared" si="0"/>
        <v>DESCR_PG</v>
      </c>
      <c r="N4" t="s">
        <v>208</v>
      </c>
      <c r="O4" t="str">
        <f t="shared" si="1"/>
        <v>ALTER TABLE TEMP_PDL RENAME "Descr_PG" TO DESCR_PG;</v>
      </c>
      <c r="P4" t="str">
        <f t="shared" si="9"/>
        <v>ALTER TABLE PDL ADD COLUMN DESCR_PG character varying(50)    ;</v>
      </c>
      <c r="Q4" t="str">
        <f t="shared" si="10"/>
        <v>DESCR_PG,</v>
      </c>
      <c r="R4" t="str">
        <f t="shared" si="11"/>
        <v>public static final String  DESCR_PG = "DESCR_PG";</v>
      </c>
      <c r="S4" t="str">
        <f t="shared" si="2"/>
        <v/>
      </c>
      <c r="T4" t="str">
        <f t="shared" si="3"/>
        <v>$('#DESCR_PG').val('&lt;#if DESCR_PG?exists&gt;${DESCR_PG}&lt;/#if&gt;')</v>
      </c>
      <c r="V4" t="str">
        <f t="shared" si="4"/>
        <v/>
      </c>
      <c r="W4" t="str">
        <f t="shared" si="5"/>
        <v/>
      </c>
      <c r="X4" t="str">
        <f t="shared" si="6"/>
        <v/>
      </c>
    </row>
    <row r="5" spans="1:24" x14ac:dyDescent="0.25">
      <c r="A5" s="1" t="s">
        <v>5</v>
      </c>
      <c r="B5" t="str">
        <f t="shared" si="7"/>
        <v>,"Descr_Testo"</v>
      </c>
      <c r="C5" s="1"/>
      <c r="D5" s="1" t="s">
        <v>396</v>
      </c>
      <c r="E5" t="s">
        <v>0</v>
      </c>
      <c r="F5" t="s">
        <v>1</v>
      </c>
      <c r="K5" t="str">
        <f t="shared" si="8"/>
        <v xml:space="preserve">character varying(50),    </v>
      </c>
      <c r="L5" t="s">
        <v>397</v>
      </c>
      <c r="M5" t="str">
        <f t="shared" si="0"/>
        <v>DESCR_TESTO</v>
      </c>
      <c r="N5" t="s">
        <v>209</v>
      </c>
      <c r="O5" t="str">
        <f t="shared" si="1"/>
        <v>ALTER TABLE TEMP_PDL RENAME "Descr_Testo" TO DESCR_TESTO;</v>
      </c>
      <c r="P5" t="str">
        <f t="shared" si="9"/>
        <v>ALTER TABLE PDL ADD COLUMN DESCR_TESTO character varying(50)    ;</v>
      </c>
      <c r="Q5" t="str">
        <f t="shared" si="10"/>
        <v>DESCR_TESTO,</v>
      </c>
      <c r="R5" t="str">
        <f t="shared" si="11"/>
        <v>public static final String  DESCR_TESTO = "DESCR_TESTO";</v>
      </c>
      <c r="S5" t="str">
        <f t="shared" si="2"/>
        <v/>
      </c>
      <c r="T5" t="str">
        <f t="shared" si="3"/>
        <v>$('#DESCR_TESTO').val('&lt;#if DESCR_TESTO?exists&gt;${DESCR_TESTO}&lt;/#if&gt;')</v>
      </c>
      <c r="V5" t="str">
        <f t="shared" si="4"/>
        <v/>
      </c>
      <c r="W5" t="str">
        <f t="shared" si="5"/>
        <v/>
      </c>
      <c r="X5" t="str">
        <f t="shared" si="6"/>
        <v/>
      </c>
    </row>
    <row r="6" spans="1:24" x14ac:dyDescent="0.25">
      <c r="A6" s="1" t="s">
        <v>6</v>
      </c>
      <c r="B6" t="str">
        <f t="shared" si="7"/>
        <v>,"Equipment"</v>
      </c>
      <c r="C6" s="1"/>
      <c r="D6" s="1" t="s">
        <v>396</v>
      </c>
      <c r="E6" t="s">
        <v>0</v>
      </c>
      <c r="F6" t="s">
        <v>1</v>
      </c>
      <c r="K6" t="str">
        <f t="shared" si="8"/>
        <v xml:space="preserve">character varying(50),    </v>
      </c>
      <c r="L6" t="s">
        <v>397</v>
      </c>
      <c r="M6" t="str">
        <f t="shared" si="0"/>
        <v>EQUIPMENT</v>
      </c>
      <c r="N6" t="s">
        <v>210</v>
      </c>
      <c r="O6" t="str">
        <f t="shared" si="1"/>
        <v>ALTER TABLE TEMP_PDL RENAME "Equipment" TO EQUIPMENT;</v>
      </c>
      <c r="P6" t="str">
        <f t="shared" si="9"/>
        <v>ALTER TABLE PDL ADD COLUMN EQUIPMENT character varying(50)    ;</v>
      </c>
      <c r="Q6" t="str">
        <f t="shared" si="10"/>
        <v>EQUIPMENT,</v>
      </c>
      <c r="R6" t="str">
        <f t="shared" si="11"/>
        <v>public static final String  EQUIPMENT = "EQUIPMENT";</v>
      </c>
      <c r="S6" t="str">
        <f t="shared" si="2"/>
        <v/>
      </c>
      <c r="T6" t="str">
        <f t="shared" si="3"/>
        <v>$('#EQUIPMENT').val('&lt;#if EQUIPMENT?exists&gt;${EQUIPMENT}&lt;/#if&gt;')</v>
      </c>
      <c r="V6" t="str">
        <f t="shared" si="4"/>
        <v/>
      </c>
      <c r="W6" t="str">
        <f t="shared" si="5"/>
        <v/>
      </c>
      <c r="X6" t="str">
        <f t="shared" si="6"/>
        <v/>
      </c>
    </row>
    <row r="7" spans="1:24" s="2" customFormat="1" x14ac:dyDescent="0.25">
      <c r="A7" s="3" t="s">
        <v>7</v>
      </c>
      <c r="B7" t="str">
        <f t="shared" si="7"/>
        <v>,"Meccanica"</v>
      </c>
      <c r="C7" s="3"/>
      <c r="D7" s="3" t="s">
        <v>396</v>
      </c>
      <c r="E7" s="2" t="s">
        <v>8</v>
      </c>
      <c r="K7" s="2" t="str">
        <f t="shared" si="8"/>
        <v xml:space="preserve">boolean,     </v>
      </c>
      <c r="L7" s="2" t="s">
        <v>398</v>
      </c>
      <c r="M7" s="2" t="str">
        <f t="shared" si="0"/>
        <v>FLG_MECCANICA</v>
      </c>
      <c r="N7" s="2" t="s">
        <v>250</v>
      </c>
      <c r="O7" s="2" t="str">
        <f t="shared" si="1"/>
        <v>ALTER TABLE TEMP_PDL RENAME "Meccanica" TO FLG_MECCANICA;</v>
      </c>
      <c r="P7" s="2" t="str">
        <f t="shared" si="9"/>
        <v>ALTER TABLE PDL ADD COLUMN FLG_MECCANICA boolean     ;</v>
      </c>
      <c r="Q7" s="2" t="str">
        <f t="shared" si="10"/>
        <v>FLG_MECCANICA,</v>
      </c>
      <c r="R7" s="2" t="str">
        <f t="shared" si="11"/>
        <v>public static final String  FLG_MECCANICA = "FLG_MECCANICA";</v>
      </c>
      <c r="S7" s="2" t="str">
        <f t="shared" si="2"/>
        <v/>
      </c>
      <c r="T7" s="2" t="str">
        <f t="shared" si="3"/>
        <v/>
      </c>
      <c r="V7" s="2" t="str">
        <f t="shared" si="4"/>
        <v>$('#FLG_MECCANICA').val($('#FLG_MECCANICA').is(':checked'));</v>
      </c>
      <c r="W7" s="2" t="str">
        <f t="shared" si="5"/>
        <v>$('#FLG_MECCANICA').prop('checked','&lt;#if FLG_MECCANICA?exists &amp;&amp; FLG_MECCANICA!=''&gt;${FLG_MECCANICA}&lt;#else&gt;true&lt;/#if&gt;'==='true')</v>
      </c>
      <c r="X7" s="2" t="str">
        <f t="shared" si="6"/>
        <v>addNoStringField(FLG_MECCANICA, Boolean.class);</v>
      </c>
    </row>
    <row r="8" spans="1:24" s="2" customFormat="1" x14ac:dyDescent="0.25">
      <c r="A8" s="3" t="s">
        <v>9</v>
      </c>
      <c r="B8" t="str">
        <f t="shared" si="7"/>
        <v>,"Strumentale"</v>
      </c>
      <c r="C8" s="3"/>
      <c r="D8" s="3" t="s">
        <v>396</v>
      </c>
      <c r="E8" s="2" t="s">
        <v>8</v>
      </c>
      <c r="K8" s="2" t="str">
        <f t="shared" si="8"/>
        <v xml:space="preserve">boolean,     </v>
      </c>
      <c r="L8" s="2" t="s">
        <v>398</v>
      </c>
      <c r="M8" s="2" t="str">
        <f t="shared" si="0"/>
        <v>FLG_STRUMENTALE</v>
      </c>
      <c r="N8" s="2" t="s">
        <v>251</v>
      </c>
      <c r="O8" s="2" t="str">
        <f t="shared" si="1"/>
        <v>ALTER TABLE TEMP_PDL RENAME "Strumentale" TO FLG_STRUMENTALE;</v>
      </c>
      <c r="P8" s="2" t="str">
        <f t="shared" si="9"/>
        <v>ALTER TABLE PDL ADD COLUMN FLG_STRUMENTALE boolean     ;</v>
      </c>
      <c r="Q8" s="2" t="str">
        <f t="shared" si="10"/>
        <v>FLG_STRUMENTALE,</v>
      </c>
      <c r="R8" s="2" t="str">
        <f t="shared" si="11"/>
        <v>public static final String  FLG_STRUMENTALE = "FLG_STRUMENTALE";</v>
      </c>
      <c r="S8" s="2" t="str">
        <f t="shared" si="2"/>
        <v/>
      </c>
      <c r="T8" s="2" t="str">
        <f t="shared" si="3"/>
        <v/>
      </c>
      <c r="V8" s="2" t="str">
        <f t="shared" si="4"/>
        <v>$('#FLG_STRUMENTALE').val($('#FLG_STRUMENTALE').is(':checked'));</v>
      </c>
      <c r="W8" s="2" t="str">
        <f t="shared" si="5"/>
        <v>$('#FLG_STRUMENTALE').prop('checked','&lt;#if FLG_STRUMENTALE?exists &amp;&amp; FLG_STRUMENTALE!=''&gt;${FLG_STRUMENTALE}&lt;#else&gt;true&lt;/#if&gt;'==='true')</v>
      </c>
      <c r="X8" s="2" t="str">
        <f t="shared" si="6"/>
        <v>addNoStringField(FLG_STRUMENTALE, Boolean.class);</v>
      </c>
    </row>
    <row r="9" spans="1:24" s="2" customFormat="1" x14ac:dyDescent="0.25">
      <c r="A9" s="3" t="s">
        <v>10</v>
      </c>
      <c r="B9" t="str">
        <f t="shared" si="7"/>
        <v>,"Elettrica"</v>
      </c>
      <c r="C9" s="3"/>
      <c r="D9" s="3" t="s">
        <v>396</v>
      </c>
      <c r="E9" s="2" t="s">
        <v>8</v>
      </c>
      <c r="K9" s="2" t="str">
        <f t="shared" si="8"/>
        <v xml:space="preserve">boolean,     </v>
      </c>
      <c r="L9" s="2" t="s">
        <v>398</v>
      </c>
      <c r="M9" s="2" t="str">
        <f t="shared" si="0"/>
        <v>FLG_ELETTRICA</v>
      </c>
      <c r="N9" s="2" t="s">
        <v>252</v>
      </c>
      <c r="O9" s="2" t="str">
        <f t="shared" si="1"/>
        <v>ALTER TABLE TEMP_PDL RENAME "Elettrica" TO FLG_ELETTRICA;</v>
      </c>
      <c r="P9" s="2" t="str">
        <f t="shared" si="9"/>
        <v>ALTER TABLE PDL ADD COLUMN FLG_ELETTRICA boolean     ;</v>
      </c>
      <c r="Q9" s="2" t="str">
        <f t="shared" si="10"/>
        <v>FLG_ELETTRICA,</v>
      </c>
      <c r="R9" s="2" t="str">
        <f t="shared" si="11"/>
        <v>public static final String  FLG_ELETTRICA = "FLG_ELETTRICA";</v>
      </c>
      <c r="S9" s="2" t="str">
        <f t="shared" si="2"/>
        <v/>
      </c>
      <c r="T9" s="2" t="str">
        <f t="shared" si="3"/>
        <v/>
      </c>
      <c r="V9" s="2" t="str">
        <f t="shared" si="4"/>
        <v>$('#FLG_ELETTRICA').val($('#FLG_ELETTRICA').is(':checked'));</v>
      </c>
      <c r="W9" s="2" t="str">
        <f t="shared" si="5"/>
        <v>$('#FLG_ELETTRICA').prop('checked','&lt;#if FLG_ELETTRICA?exists &amp;&amp; FLG_ELETTRICA!=''&gt;${FLG_ELETTRICA}&lt;#else&gt;true&lt;/#if&gt;'==='true')</v>
      </c>
      <c r="X9" s="2" t="str">
        <f t="shared" si="6"/>
        <v>addNoStringField(FLG_ELETTRICA, Boolean.class);</v>
      </c>
    </row>
    <row r="10" spans="1:24" s="2" customFormat="1" x14ac:dyDescent="0.25">
      <c r="A10" s="3" t="s">
        <v>11</v>
      </c>
      <c r="B10" t="str">
        <f t="shared" si="7"/>
        <v>,"Edile"</v>
      </c>
      <c r="C10" s="3"/>
      <c r="D10" s="3" t="s">
        <v>396</v>
      </c>
      <c r="E10" s="2" t="s">
        <v>8</v>
      </c>
      <c r="K10" s="2" t="str">
        <f t="shared" si="8"/>
        <v xml:space="preserve">boolean,     </v>
      </c>
      <c r="L10" s="2" t="s">
        <v>398</v>
      </c>
      <c r="M10" s="2" t="str">
        <f t="shared" si="0"/>
        <v>FLG_EDILE</v>
      </c>
      <c r="N10" s="2" t="s">
        <v>253</v>
      </c>
      <c r="O10" s="2" t="str">
        <f t="shared" si="1"/>
        <v>ALTER TABLE TEMP_PDL RENAME "Edile" TO FLG_EDILE;</v>
      </c>
      <c r="P10" s="2" t="str">
        <f t="shared" si="9"/>
        <v>ALTER TABLE PDL ADD COLUMN FLG_EDILE boolean     ;</v>
      </c>
      <c r="Q10" s="2" t="str">
        <f t="shared" si="10"/>
        <v>FLG_EDILE,</v>
      </c>
      <c r="R10" s="2" t="str">
        <f t="shared" si="11"/>
        <v>public static final String  FLG_EDILE = "FLG_EDILE";</v>
      </c>
      <c r="S10" s="2" t="str">
        <f t="shared" si="2"/>
        <v/>
      </c>
      <c r="T10" s="2" t="str">
        <f t="shared" si="3"/>
        <v/>
      </c>
      <c r="V10" s="2" t="str">
        <f t="shared" si="4"/>
        <v>$('#FLG_EDILE').val($('#FLG_EDILE').is(':checked'));</v>
      </c>
      <c r="W10" s="2" t="str">
        <f t="shared" si="5"/>
        <v>$('#FLG_EDILE').prop('checked','&lt;#if FLG_EDILE?exists &amp;&amp; FLG_EDILE!=''&gt;${FLG_EDILE}&lt;#else&gt;true&lt;/#if&gt;'==='true')</v>
      </c>
      <c r="X10" s="2" t="str">
        <f t="shared" si="6"/>
        <v>addNoStringField(FLG_EDILE, Boolean.class);</v>
      </c>
    </row>
    <row r="11" spans="1:24" s="2" customFormat="1" x14ac:dyDescent="0.25">
      <c r="A11" s="3" t="s">
        <v>12</v>
      </c>
      <c r="B11" t="str">
        <f t="shared" si="7"/>
        <v>,"A fuoco"</v>
      </c>
      <c r="C11" s="3"/>
      <c r="D11" s="3" t="s">
        <v>396</v>
      </c>
      <c r="E11" s="2" t="s">
        <v>8</v>
      </c>
      <c r="K11" s="2" t="str">
        <f t="shared" si="8"/>
        <v xml:space="preserve">boolean,     </v>
      </c>
      <c r="L11" s="2" t="s">
        <v>398</v>
      </c>
      <c r="M11" s="2" t="str">
        <f t="shared" si="0"/>
        <v>FLG_A_FUOCO</v>
      </c>
      <c r="N11" s="2" t="s">
        <v>254</v>
      </c>
      <c r="O11" s="2" t="str">
        <f t="shared" si="1"/>
        <v>ALTER TABLE TEMP_PDL RENAME "A fuoco" TO FLG_A_FUOCO;</v>
      </c>
      <c r="P11" s="2" t="str">
        <f t="shared" si="9"/>
        <v>ALTER TABLE PDL ADD COLUMN FLG_A_FUOCO boolean     ;</v>
      </c>
      <c r="Q11" s="2" t="str">
        <f t="shared" si="10"/>
        <v>FLG_A_FUOCO,</v>
      </c>
      <c r="R11" s="2" t="str">
        <f t="shared" si="11"/>
        <v>public static final String  FLG_A_FUOCO = "FLG_A_FUOCO";</v>
      </c>
      <c r="S11" s="2" t="str">
        <f t="shared" si="2"/>
        <v/>
      </c>
      <c r="T11" s="2" t="str">
        <f t="shared" si="3"/>
        <v/>
      </c>
      <c r="V11" s="2" t="str">
        <f t="shared" si="4"/>
        <v>$('#FLG_A_FUOCO').val($('#FLG_A_FUOCO').is(':checked'));</v>
      </c>
      <c r="W11" s="2" t="str">
        <f t="shared" si="5"/>
        <v>$('#FLG_A_FUOCO').prop('checked','&lt;#if FLG_A_FUOCO?exists &amp;&amp; FLG_A_FUOCO!=''&gt;${FLG_A_FUOCO}&lt;#else&gt;true&lt;/#if&gt;'==='true')</v>
      </c>
      <c r="X11" s="2" t="str">
        <f t="shared" si="6"/>
        <v>addNoStringField(FLG_A_FUOCO, Boolean.class);</v>
      </c>
    </row>
    <row r="12" spans="1:24" s="2" customFormat="1" x14ac:dyDescent="0.25">
      <c r="A12" s="3" t="s">
        <v>13</v>
      </c>
      <c r="B12" t="str">
        <f t="shared" si="7"/>
        <v>,"In quota"</v>
      </c>
      <c r="C12" s="3"/>
      <c r="D12" s="3" t="s">
        <v>396</v>
      </c>
      <c r="E12" s="2" t="s">
        <v>8</v>
      </c>
      <c r="K12" s="2" t="str">
        <f t="shared" si="8"/>
        <v xml:space="preserve">boolean,     </v>
      </c>
      <c r="L12" s="2" t="s">
        <v>398</v>
      </c>
      <c r="M12" s="2" t="str">
        <f t="shared" si="0"/>
        <v>FLG_IN_QUOTA</v>
      </c>
      <c r="N12" s="2" t="s">
        <v>255</v>
      </c>
      <c r="O12" s="2" t="str">
        <f t="shared" si="1"/>
        <v>ALTER TABLE TEMP_PDL RENAME "In quota" TO FLG_IN_QUOTA;</v>
      </c>
      <c r="P12" s="2" t="str">
        <f t="shared" si="9"/>
        <v>ALTER TABLE PDL ADD COLUMN FLG_IN_QUOTA boolean     ;</v>
      </c>
      <c r="Q12" s="2" t="str">
        <f t="shared" si="10"/>
        <v>FLG_IN_QUOTA,</v>
      </c>
      <c r="R12" s="2" t="str">
        <f t="shared" si="11"/>
        <v>public static final String  FLG_IN_QUOTA = "FLG_IN_QUOTA";</v>
      </c>
      <c r="S12" s="2" t="str">
        <f t="shared" si="2"/>
        <v/>
      </c>
      <c r="T12" s="2" t="str">
        <f t="shared" si="3"/>
        <v/>
      </c>
      <c r="V12" s="2" t="str">
        <f t="shared" si="4"/>
        <v>$('#FLG_IN_QUOTA').val($('#FLG_IN_QUOTA').is(':checked'));</v>
      </c>
      <c r="W12" s="2" t="str">
        <f t="shared" si="5"/>
        <v>$('#FLG_IN_QUOTA').prop('checked','&lt;#if FLG_IN_QUOTA?exists &amp;&amp; FLG_IN_QUOTA!=''&gt;${FLG_IN_QUOTA}&lt;#else&gt;true&lt;/#if&gt;'==='true')</v>
      </c>
      <c r="X12" s="2" t="str">
        <f t="shared" si="6"/>
        <v>addNoStringField(FLG_IN_QUOTA, Boolean.class);</v>
      </c>
    </row>
    <row r="13" spans="1:24" s="2" customFormat="1" x14ac:dyDescent="0.25">
      <c r="A13" s="3" t="s">
        <v>14</v>
      </c>
      <c r="B13" t="str">
        <f t="shared" si="7"/>
        <v>,"Scavo"</v>
      </c>
      <c r="C13" s="3"/>
      <c r="D13" s="3" t="s">
        <v>396</v>
      </c>
      <c r="E13" s="2" t="s">
        <v>8</v>
      </c>
      <c r="K13" s="2" t="str">
        <f t="shared" si="8"/>
        <v xml:space="preserve">boolean,     </v>
      </c>
      <c r="L13" s="2" t="s">
        <v>398</v>
      </c>
      <c r="M13" s="2" t="str">
        <f t="shared" si="0"/>
        <v>FLG_SCAVO</v>
      </c>
      <c r="N13" s="2" t="s">
        <v>256</v>
      </c>
      <c r="O13" s="2" t="str">
        <f t="shared" si="1"/>
        <v>ALTER TABLE TEMP_PDL RENAME "Scavo" TO FLG_SCAVO;</v>
      </c>
      <c r="P13" s="2" t="str">
        <f t="shared" si="9"/>
        <v>ALTER TABLE PDL ADD COLUMN FLG_SCAVO boolean     ;</v>
      </c>
      <c r="Q13" s="2" t="str">
        <f t="shared" si="10"/>
        <v>FLG_SCAVO,</v>
      </c>
      <c r="R13" s="2" t="str">
        <f t="shared" si="11"/>
        <v>public static final String  FLG_SCAVO = "FLG_SCAVO";</v>
      </c>
      <c r="S13" s="2" t="str">
        <f t="shared" si="2"/>
        <v/>
      </c>
      <c r="T13" s="2" t="str">
        <f t="shared" si="3"/>
        <v/>
      </c>
      <c r="V13" s="2" t="str">
        <f t="shared" si="4"/>
        <v>$('#FLG_SCAVO').val($('#FLG_SCAVO').is(':checked'));</v>
      </c>
      <c r="W13" s="2" t="str">
        <f t="shared" si="5"/>
        <v>$('#FLG_SCAVO').prop('checked','&lt;#if FLG_SCAVO?exists &amp;&amp; FLG_SCAVO!=''&gt;${FLG_SCAVO}&lt;#else&gt;true&lt;/#if&gt;'==='true')</v>
      </c>
      <c r="X13" s="2" t="str">
        <f t="shared" si="6"/>
        <v>addNoStringField(FLG_SCAVO, Boolean.class);</v>
      </c>
    </row>
    <row r="14" spans="1:24" s="2" customFormat="1" x14ac:dyDescent="0.25">
      <c r="A14" s="3" t="s">
        <v>15</v>
      </c>
      <c r="B14" t="str">
        <f t="shared" si="7"/>
        <v>,"In spazi confinati"</v>
      </c>
      <c r="C14" s="3"/>
      <c r="D14" s="3" t="s">
        <v>396</v>
      </c>
      <c r="E14" s="2" t="s">
        <v>8</v>
      </c>
      <c r="K14" s="2" t="str">
        <f t="shared" si="8"/>
        <v xml:space="preserve">boolean,     </v>
      </c>
      <c r="L14" s="2" t="s">
        <v>398</v>
      </c>
      <c r="M14" s="2" t="str">
        <f t="shared" si="0"/>
        <v>FLG_IN_SPAZI_CONFINATI</v>
      </c>
      <c r="N14" s="2" t="s">
        <v>257</v>
      </c>
      <c r="O14" s="2" t="str">
        <f t="shared" si="1"/>
        <v>ALTER TABLE TEMP_PDL RENAME "In spazi confinati" TO FLG_IN_SPAZI_CONFINATI;</v>
      </c>
      <c r="P14" s="2" t="str">
        <f t="shared" si="9"/>
        <v>ALTER TABLE PDL ADD COLUMN FLG_IN_SPAZI_CONFINATI boolean     ;</v>
      </c>
      <c r="Q14" s="2" t="str">
        <f t="shared" si="10"/>
        <v>FLG_IN_SPAZI_CONFINATI,</v>
      </c>
      <c r="R14" s="2" t="str">
        <f t="shared" si="11"/>
        <v>public static final String  FLG_IN_SPAZI_CONFINATI = "FLG_IN_SPAZI_CONFINATI";</v>
      </c>
      <c r="S14" s="2" t="str">
        <f t="shared" si="2"/>
        <v/>
      </c>
      <c r="T14" s="2" t="str">
        <f t="shared" si="3"/>
        <v/>
      </c>
      <c r="V14" s="2" t="str">
        <f t="shared" si="4"/>
        <v>$('#FLG_IN_SPAZI_CONFINATI').val($('#FLG_IN_SPAZI_CONFINATI').is(':checked'));</v>
      </c>
      <c r="W14" s="2" t="str">
        <f t="shared" si="5"/>
        <v>$('#FLG_IN_SPAZI_CONFINATI').prop('checked','&lt;#if FLG_IN_SPAZI_CONFINATI?exists &amp;&amp; FLG_IN_SPAZI_CONFINATI!=''&gt;${FLG_IN_SPAZI_CONFINATI}&lt;#else&gt;true&lt;/#if&gt;'==='true')</v>
      </c>
      <c r="X14" s="2" t="str">
        <f t="shared" si="6"/>
        <v>addNoStringField(FLG_IN_SPAZI_CONFINATI, Boolean.class);</v>
      </c>
    </row>
    <row r="15" spans="1:24" s="2" customFormat="1" x14ac:dyDescent="0.25">
      <c r="A15" s="3" t="s">
        <v>16</v>
      </c>
      <c r="B15" t="str">
        <f t="shared" si="7"/>
        <v>,"Coibentazione/Scoibentazione"</v>
      </c>
      <c r="C15" s="3"/>
      <c r="D15" s="3" t="s">
        <v>396</v>
      </c>
      <c r="E15" s="2" t="s">
        <v>8</v>
      </c>
      <c r="K15" s="2" t="str">
        <f t="shared" si="8"/>
        <v xml:space="preserve">boolean,     </v>
      </c>
      <c r="L15" s="2" t="s">
        <v>398</v>
      </c>
      <c r="M15" s="2" t="str">
        <f t="shared" si="0"/>
        <v>FLG_COIBENTAZIONE_SCOIBENTAZIONE</v>
      </c>
      <c r="N15" s="2" t="s">
        <v>258</v>
      </c>
      <c r="O15" s="2" t="str">
        <f t="shared" si="1"/>
        <v>ALTER TABLE TEMP_PDL RENAME "Coibentazione/Scoibentazione" TO FLG_COIBENTAZIONE_SCOIBENTAZIONE;</v>
      </c>
      <c r="P15" s="2" t="str">
        <f t="shared" si="9"/>
        <v>ALTER TABLE PDL ADD COLUMN FLG_COIBENTAZIONE_SCOIBENTAZIONE boolean     ;</v>
      </c>
      <c r="Q15" s="2" t="str">
        <f t="shared" si="10"/>
        <v>FLG_COIBENTAZIONE_SCOIBENTAZIONE,</v>
      </c>
      <c r="R15" s="2" t="str">
        <f t="shared" si="11"/>
        <v>public static final String  FLG_COIBENTAZIONE_SCOIBENTAZIONE = "FLG_COIBENTAZIONE_SCOIBENTAZIONE";</v>
      </c>
      <c r="S15" s="2" t="str">
        <f t="shared" si="2"/>
        <v/>
      </c>
      <c r="T15" s="2" t="str">
        <f t="shared" si="3"/>
        <v/>
      </c>
      <c r="V15" s="2" t="str">
        <f t="shared" si="4"/>
        <v>$('#FLG_COIBENTAZIONE_SCOIBENTAZIONE').val($('#FLG_COIBENTAZIONE_SCOIBENTAZIONE').is(':checked'));</v>
      </c>
      <c r="W15" s="2" t="str">
        <f t="shared" si="5"/>
        <v>$('#FLG_COIBENTAZIONE_SCOIBENTAZIONE').prop('checked','&lt;#if FLG_COIBENTAZIONE_SCOIBENTAZIONE?exists &amp;&amp; FLG_COIBENTAZIONE_SCOIBENTAZIONE!=''&gt;${FLG_COIBENTAZIONE_SCOIBENTAZIONE}&lt;#else&gt;true&lt;/#if&gt;'==='true')</v>
      </c>
      <c r="X15" s="2" t="str">
        <f t="shared" si="6"/>
        <v>addNoStringField(FLG_COIBENTAZIONE_SCOIBENTAZIONE, Boolean.class);</v>
      </c>
    </row>
    <row r="16" spans="1:24" s="2" customFormat="1" x14ac:dyDescent="0.25">
      <c r="A16" s="3" t="s">
        <v>17</v>
      </c>
      <c r="B16" t="str">
        <f t="shared" si="7"/>
        <v>,"Ciecatura/rimozione"</v>
      </c>
      <c r="C16" s="3"/>
      <c r="D16" s="3" t="s">
        <v>396</v>
      </c>
      <c r="E16" s="2" t="s">
        <v>8</v>
      </c>
      <c r="K16" s="2" t="str">
        <f t="shared" si="8"/>
        <v xml:space="preserve">boolean,     </v>
      </c>
      <c r="L16" s="2" t="s">
        <v>398</v>
      </c>
      <c r="M16" s="2" t="str">
        <f t="shared" si="0"/>
        <v>FLG_CIECATURA_RIMOZIONE</v>
      </c>
      <c r="N16" s="2" t="s">
        <v>259</v>
      </c>
      <c r="O16" s="2" t="str">
        <f t="shared" si="1"/>
        <v>ALTER TABLE TEMP_PDL RENAME "Ciecatura/rimozione" TO FLG_CIECATURA_RIMOZIONE;</v>
      </c>
      <c r="P16" s="2" t="str">
        <f t="shared" si="9"/>
        <v>ALTER TABLE PDL ADD COLUMN FLG_CIECATURA_RIMOZIONE boolean     ;</v>
      </c>
      <c r="Q16" s="2" t="str">
        <f t="shared" si="10"/>
        <v>FLG_CIECATURA_RIMOZIONE,</v>
      </c>
      <c r="R16" s="2" t="str">
        <f t="shared" si="11"/>
        <v>public static final String  FLG_CIECATURA_RIMOZIONE = "FLG_CIECATURA_RIMOZIONE";</v>
      </c>
      <c r="S16" s="2" t="str">
        <f t="shared" si="2"/>
        <v/>
      </c>
      <c r="T16" s="2" t="str">
        <f t="shared" si="3"/>
        <v/>
      </c>
      <c r="V16" s="2" t="str">
        <f t="shared" si="4"/>
        <v>$('#FLG_CIECATURA_RIMOZIONE').val($('#FLG_CIECATURA_RIMOZIONE').is(':checked'));</v>
      </c>
      <c r="W16" s="2" t="str">
        <f t="shared" si="5"/>
        <v>$('#FLG_CIECATURA_RIMOZIONE').prop('checked','&lt;#if FLG_CIECATURA_RIMOZIONE?exists &amp;&amp; FLG_CIECATURA_RIMOZIONE!=''&gt;${FLG_CIECATURA_RIMOZIONE}&lt;#else&gt;true&lt;/#if&gt;'==='true')</v>
      </c>
      <c r="X16" s="2" t="str">
        <f t="shared" si="6"/>
        <v>addNoStringField(FLG_CIECATURA_RIMOZIONE, Boolean.class);</v>
      </c>
    </row>
    <row r="17" spans="1:24" s="2" customFormat="1" x14ac:dyDescent="0.25">
      <c r="A17" s="3" t="s">
        <v>18</v>
      </c>
      <c r="B17" t="str">
        <f t="shared" si="7"/>
        <v>,"Pulizia/facchinaggio"</v>
      </c>
      <c r="C17" s="3"/>
      <c r="D17" s="3" t="s">
        <v>396</v>
      </c>
      <c r="E17" s="2" t="s">
        <v>8</v>
      </c>
      <c r="K17" s="2" t="str">
        <f t="shared" si="8"/>
        <v xml:space="preserve">boolean,     </v>
      </c>
      <c r="L17" s="2" t="s">
        <v>398</v>
      </c>
      <c r="M17" s="2" t="str">
        <f t="shared" si="0"/>
        <v>FLG_PULIZIA_FACCHINAGGIO</v>
      </c>
      <c r="N17" s="2" t="s">
        <v>260</v>
      </c>
      <c r="O17" s="2" t="str">
        <f t="shared" si="1"/>
        <v>ALTER TABLE TEMP_PDL RENAME "Pulizia/facchinaggio" TO FLG_PULIZIA_FACCHINAGGIO;</v>
      </c>
      <c r="P17" s="2" t="str">
        <f t="shared" si="9"/>
        <v>ALTER TABLE PDL ADD COLUMN FLG_PULIZIA_FACCHINAGGIO boolean     ;</v>
      </c>
      <c r="Q17" s="2" t="str">
        <f t="shared" si="10"/>
        <v>FLG_PULIZIA_FACCHINAGGIO,</v>
      </c>
      <c r="R17" s="2" t="str">
        <f t="shared" si="11"/>
        <v>public static final String  FLG_PULIZIA_FACCHINAGGIO = "FLG_PULIZIA_FACCHINAGGIO";</v>
      </c>
      <c r="S17" s="2" t="str">
        <f t="shared" si="2"/>
        <v/>
      </c>
      <c r="T17" s="2" t="str">
        <f t="shared" si="3"/>
        <v/>
      </c>
      <c r="V17" s="2" t="str">
        <f t="shared" si="4"/>
        <v>$('#FLG_PULIZIA_FACCHINAGGIO').val($('#FLG_PULIZIA_FACCHINAGGIO').is(':checked'));</v>
      </c>
      <c r="W17" s="2" t="str">
        <f t="shared" si="5"/>
        <v>$('#FLG_PULIZIA_FACCHINAGGIO').prop('checked','&lt;#if FLG_PULIZIA_FACCHINAGGIO?exists &amp;&amp; FLG_PULIZIA_FACCHINAGGIO!=''&gt;${FLG_PULIZIA_FACCHINAGGIO}&lt;#else&gt;true&lt;/#if&gt;'==='true')</v>
      </c>
      <c r="X17" s="2" t="str">
        <f t="shared" si="6"/>
        <v>addNoStringField(FLG_PULIZIA_FACCHINAGGIO, Boolean.class);</v>
      </c>
    </row>
    <row r="18" spans="1:24" s="2" customFormat="1" x14ac:dyDescent="0.25">
      <c r="A18" s="3" t="s">
        <v>19</v>
      </c>
      <c r="B18" t="str">
        <f t="shared" si="7"/>
        <v>,"Verniciatura"</v>
      </c>
      <c r="C18" s="3"/>
      <c r="D18" s="3" t="s">
        <v>396</v>
      </c>
      <c r="E18" s="2" t="s">
        <v>8</v>
      </c>
      <c r="K18" s="2" t="str">
        <f t="shared" si="8"/>
        <v xml:space="preserve">boolean,     </v>
      </c>
      <c r="L18" s="2" t="s">
        <v>398</v>
      </c>
      <c r="M18" s="2" t="str">
        <f t="shared" si="0"/>
        <v>FLG_VERNICIATURA</v>
      </c>
      <c r="N18" s="2" t="s">
        <v>261</v>
      </c>
      <c r="O18" s="2" t="str">
        <f t="shared" si="1"/>
        <v>ALTER TABLE TEMP_PDL RENAME "Verniciatura" TO FLG_VERNICIATURA;</v>
      </c>
      <c r="P18" s="2" t="str">
        <f t="shared" si="9"/>
        <v>ALTER TABLE PDL ADD COLUMN FLG_VERNICIATURA boolean     ;</v>
      </c>
      <c r="Q18" s="2" t="str">
        <f t="shared" si="10"/>
        <v>FLG_VERNICIATURA,</v>
      </c>
      <c r="R18" s="2" t="str">
        <f t="shared" si="11"/>
        <v>public static final String  FLG_VERNICIATURA = "FLG_VERNICIATURA";</v>
      </c>
      <c r="S18" s="2" t="str">
        <f t="shared" si="2"/>
        <v/>
      </c>
      <c r="T18" s="2" t="str">
        <f t="shared" si="3"/>
        <v/>
      </c>
      <c r="V18" s="2" t="str">
        <f t="shared" si="4"/>
        <v>$('#FLG_VERNICIATURA').val($('#FLG_VERNICIATURA').is(':checked'));</v>
      </c>
      <c r="W18" s="2" t="str">
        <f t="shared" si="5"/>
        <v>$('#FLG_VERNICIATURA').prop('checked','&lt;#if FLG_VERNICIATURA?exists &amp;&amp; FLG_VERNICIATURA!=''&gt;${FLG_VERNICIATURA}&lt;#else&gt;true&lt;/#if&gt;'==='true')</v>
      </c>
      <c r="X18" s="2" t="str">
        <f t="shared" si="6"/>
        <v>addNoStringField(FLG_VERNICIATURA, Boolean.class);</v>
      </c>
    </row>
    <row r="19" spans="1:24" s="2" customFormat="1" x14ac:dyDescent="0.25">
      <c r="A19" s="3" t="s">
        <v>20</v>
      </c>
      <c r="B19" t="str">
        <f t="shared" si="7"/>
        <v>,"Sabbiatura"</v>
      </c>
      <c r="C19" s="3"/>
      <c r="D19" s="3" t="s">
        <v>396</v>
      </c>
      <c r="E19" s="2" t="s">
        <v>8</v>
      </c>
      <c r="K19" s="2" t="str">
        <f t="shared" si="8"/>
        <v xml:space="preserve">boolean,     </v>
      </c>
      <c r="L19" s="2" t="s">
        <v>398</v>
      </c>
      <c r="M19" s="2" t="str">
        <f t="shared" si="0"/>
        <v>FLG_SABBIATURA</v>
      </c>
      <c r="N19" s="2" t="s">
        <v>262</v>
      </c>
      <c r="O19" s="2" t="str">
        <f t="shared" si="1"/>
        <v>ALTER TABLE TEMP_PDL RENAME "Sabbiatura" TO FLG_SABBIATURA;</v>
      </c>
      <c r="P19" s="2" t="str">
        <f t="shared" si="9"/>
        <v>ALTER TABLE PDL ADD COLUMN FLG_SABBIATURA boolean     ;</v>
      </c>
      <c r="Q19" s="2" t="str">
        <f t="shared" si="10"/>
        <v>FLG_SABBIATURA,</v>
      </c>
      <c r="R19" s="2" t="str">
        <f t="shared" si="11"/>
        <v>public static final String  FLG_SABBIATURA = "FLG_SABBIATURA";</v>
      </c>
      <c r="S19" s="2" t="str">
        <f t="shared" si="2"/>
        <v/>
      </c>
      <c r="T19" s="2" t="str">
        <f t="shared" si="3"/>
        <v/>
      </c>
      <c r="V19" s="2" t="str">
        <f t="shared" si="4"/>
        <v>$('#FLG_SABBIATURA').val($('#FLG_SABBIATURA').is(':checked'));</v>
      </c>
      <c r="W19" s="2" t="str">
        <f t="shared" si="5"/>
        <v>$('#FLG_SABBIATURA').prop('checked','&lt;#if FLG_SABBIATURA?exists &amp;&amp; FLG_SABBIATURA!=''&gt;${FLG_SABBIATURA}&lt;#else&gt;true&lt;/#if&gt;'==='true')</v>
      </c>
      <c r="X19" s="2" t="str">
        <f t="shared" si="6"/>
        <v>addNoStringField(FLG_SABBIATURA, Boolean.class);</v>
      </c>
    </row>
    <row r="20" spans="1:24" s="2" customFormat="1" x14ac:dyDescent="0.25">
      <c r="A20" s="3" t="s">
        <v>21</v>
      </c>
      <c r="B20" t="str">
        <f t="shared" si="7"/>
        <v>,"Aggottamento"</v>
      </c>
      <c r="C20" s="3"/>
      <c r="D20" s="3" t="s">
        <v>396</v>
      </c>
      <c r="E20" s="2" t="s">
        <v>8</v>
      </c>
      <c r="K20" s="2" t="str">
        <f t="shared" si="8"/>
        <v xml:space="preserve">boolean,     </v>
      </c>
      <c r="L20" s="2" t="s">
        <v>398</v>
      </c>
      <c r="M20" s="2" t="str">
        <f t="shared" si="0"/>
        <v>FLG_AGGOTTAMENTO</v>
      </c>
      <c r="N20" s="2" t="s">
        <v>263</v>
      </c>
      <c r="O20" s="2" t="str">
        <f t="shared" si="1"/>
        <v>ALTER TABLE TEMP_PDL RENAME "Aggottamento" TO FLG_AGGOTTAMENTO;</v>
      </c>
      <c r="P20" s="2" t="str">
        <f t="shared" si="9"/>
        <v>ALTER TABLE PDL ADD COLUMN FLG_AGGOTTAMENTO boolean     ;</v>
      </c>
      <c r="Q20" s="2" t="str">
        <f t="shared" si="10"/>
        <v>FLG_AGGOTTAMENTO,</v>
      </c>
      <c r="R20" s="2" t="str">
        <f t="shared" si="11"/>
        <v>public static final String  FLG_AGGOTTAMENTO = "FLG_AGGOTTAMENTO";</v>
      </c>
      <c r="S20" s="2" t="str">
        <f t="shared" si="2"/>
        <v/>
      </c>
      <c r="T20" s="2" t="str">
        <f t="shared" si="3"/>
        <v/>
      </c>
      <c r="V20" s="2" t="str">
        <f t="shared" si="4"/>
        <v>$('#FLG_AGGOTTAMENTO').val($('#FLG_AGGOTTAMENTO').is(':checked'));</v>
      </c>
      <c r="W20" s="2" t="str">
        <f t="shared" si="5"/>
        <v>$('#FLG_AGGOTTAMENTO').prop('checked','&lt;#if FLG_AGGOTTAMENTO?exists &amp;&amp; FLG_AGGOTTAMENTO!=''&gt;${FLG_AGGOTTAMENTO}&lt;#else&gt;true&lt;/#if&gt;'==='true')</v>
      </c>
      <c r="X20" s="2" t="str">
        <f t="shared" si="6"/>
        <v>addNoStringField(FLG_AGGOTTAMENTO, Boolean.class);</v>
      </c>
    </row>
    <row r="21" spans="1:24" s="2" customFormat="1" x14ac:dyDescent="0.25">
      <c r="A21" s="3" t="s">
        <v>22</v>
      </c>
      <c r="B21" t="str">
        <f t="shared" si="7"/>
        <v>,"Altro_sez1_TipoLavoro1_testo"</v>
      </c>
      <c r="C21" s="3"/>
      <c r="D21" s="3" t="s">
        <v>396</v>
      </c>
      <c r="E21" s="2" t="s">
        <v>0</v>
      </c>
      <c r="F21" s="2" t="s">
        <v>23</v>
      </c>
      <c r="K21" s="2" t="str">
        <f t="shared" si="8"/>
        <v xml:space="preserve">character varying(255),    </v>
      </c>
      <c r="L21" s="2" t="s">
        <v>399</v>
      </c>
      <c r="M21" s="2" t="str">
        <f t="shared" si="0"/>
        <v>ALTRO_SEZ1_TIPOLAVORO1_TESTO</v>
      </c>
      <c r="N21" s="2" t="s">
        <v>211</v>
      </c>
      <c r="O21" s="2" t="str">
        <f t="shared" si="1"/>
        <v>ALTER TABLE TEMP_PDL RENAME "Altro_sez1_TipoLavoro1_testo" TO ALTRO_SEZ1_TIPOLAVORO1_TESTO;</v>
      </c>
      <c r="P21" s="2" t="str">
        <f t="shared" si="9"/>
        <v>ALTER TABLE PDL ADD COLUMN ALTRO_SEZ1_TIPOLAVORO1_TESTO character varying(255)    ;</v>
      </c>
      <c r="Q21" s="2" t="str">
        <f t="shared" si="10"/>
        <v>ALTRO_SEZ1_TIPOLAVORO1_TESTO,</v>
      </c>
      <c r="R21" s="2" t="str">
        <f t="shared" si="11"/>
        <v>public static final String  ALTRO_SEZ1_TIPOLAVORO1_TESTO = "ALTRO_SEZ1_TIPOLAVORO1_TESTO";</v>
      </c>
      <c r="S21" s="2" t="str">
        <f t="shared" si="2"/>
        <v/>
      </c>
      <c r="T21" s="2" t="str">
        <f t="shared" si="3"/>
        <v>$('#ALTRO_SEZ1_TIPOLAVORO1_TESTO').val('&lt;#if ALTRO_SEZ1_TIPOLAVORO1_TESTO?exists&gt;${ALTRO_SEZ1_TIPOLAVORO1_TESTO}&lt;/#if&gt;')</v>
      </c>
      <c r="V21" s="2" t="str">
        <f t="shared" si="4"/>
        <v/>
      </c>
      <c r="W21" s="2" t="str">
        <f t="shared" si="5"/>
        <v/>
      </c>
      <c r="X21" s="2" t="str">
        <f t="shared" si="6"/>
        <v/>
      </c>
    </row>
    <row r="22" spans="1:24" x14ac:dyDescent="0.25">
      <c r="A22" s="1" t="s">
        <v>24</v>
      </c>
      <c r="B22" t="str">
        <f t="shared" si="7"/>
        <v>,"Altro_sez1_TipoLavoro2_testo"</v>
      </c>
      <c r="C22" s="1"/>
      <c r="D22" s="1" t="s">
        <v>396</v>
      </c>
      <c r="E22" t="s">
        <v>0</v>
      </c>
      <c r="F22" t="s">
        <v>23</v>
      </c>
      <c r="K22" t="str">
        <f t="shared" si="8"/>
        <v xml:space="preserve">character varying(255),    </v>
      </c>
      <c r="L22" t="s">
        <v>399</v>
      </c>
      <c r="M22" t="str">
        <f t="shared" si="0"/>
        <v>ALTRO_SEZ1_TIPOLAVORO2_TESTO</v>
      </c>
      <c r="N22" t="s">
        <v>212</v>
      </c>
      <c r="O22" t="str">
        <f t="shared" si="1"/>
        <v>ALTER TABLE TEMP_PDL RENAME "Altro_sez1_TipoLavoro2_testo" TO ALTRO_SEZ1_TIPOLAVORO2_TESTO;</v>
      </c>
      <c r="P22" t="str">
        <f t="shared" si="9"/>
        <v>ALTER TABLE PDL ADD COLUMN ALTRO_SEZ1_TIPOLAVORO2_TESTO character varying(255)    ;</v>
      </c>
      <c r="Q22" t="str">
        <f t="shared" si="10"/>
        <v>ALTRO_SEZ1_TIPOLAVORO2_TESTO,</v>
      </c>
      <c r="R22" t="str">
        <f t="shared" si="11"/>
        <v>public static final String  ALTRO_SEZ1_TIPOLAVORO2_TESTO = "ALTRO_SEZ1_TIPOLAVORO2_TESTO";</v>
      </c>
      <c r="S22" t="str">
        <f t="shared" si="2"/>
        <v/>
      </c>
      <c r="T22" t="str">
        <f t="shared" si="3"/>
        <v>$('#ALTRO_SEZ1_TIPOLAVORO2_TESTO').val('&lt;#if ALTRO_SEZ1_TIPOLAVORO2_TESTO?exists&gt;${ALTRO_SEZ1_TIPOLAVORO2_TESTO}&lt;/#if&gt;')</v>
      </c>
      <c r="V22" t="str">
        <f t="shared" si="4"/>
        <v/>
      </c>
      <c r="W22" t="str">
        <f t="shared" si="5"/>
        <v/>
      </c>
      <c r="X22" t="str">
        <f t="shared" si="6"/>
        <v/>
      </c>
    </row>
    <row r="23" spans="1:24" s="2" customFormat="1" x14ac:dyDescent="0.25">
      <c r="A23" s="3" t="s">
        <v>25</v>
      </c>
      <c r="B23" t="str">
        <f t="shared" si="7"/>
        <v>,"Descrizione_lavoro"</v>
      </c>
      <c r="C23" s="3"/>
      <c r="D23" s="3"/>
      <c r="E23" s="2" t="s">
        <v>0</v>
      </c>
      <c r="F23" s="2" t="s">
        <v>23</v>
      </c>
      <c r="K23" s="2" t="str">
        <f t="shared" si="8"/>
        <v xml:space="preserve">character varying(255),    </v>
      </c>
      <c r="L23" s="2" t="s">
        <v>399</v>
      </c>
      <c r="M23" s="2" t="str">
        <f t="shared" si="0"/>
        <v>DESCRIZIONE_LAVORO</v>
      </c>
      <c r="N23" s="2" t="s">
        <v>213</v>
      </c>
      <c r="O23" s="2" t="str">
        <f t="shared" si="1"/>
        <v>ALTER TABLE TEMP_PDL RENAME "Descrizione_lavoro" TO DESCRIZIONE_LAVORO;</v>
      </c>
      <c r="P23" s="2" t="str">
        <f t="shared" si="9"/>
        <v/>
      </c>
      <c r="Q23" s="2" t="str">
        <f t="shared" si="10"/>
        <v>DESCRIZIONE_LAVORO,</v>
      </c>
      <c r="R23" s="2" t="str">
        <f t="shared" si="11"/>
        <v>public static final String  DESCRIZIONE_LAVORO = "DESCRIZIONE_LAVORO";</v>
      </c>
      <c r="S23" s="2" t="str">
        <f t="shared" si="2"/>
        <v/>
      </c>
      <c r="T23" s="2" t="str">
        <f t="shared" si="3"/>
        <v>$('#DESCRIZIONE_LAVORO').val('&lt;#if DESCRIZIONE_LAVORO?exists&gt;${DESCRIZIONE_LAVORO}&lt;/#if&gt;')</v>
      </c>
      <c r="V23" s="2" t="str">
        <f t="shared" si="4"/>
        <v/>
      </c>
      <c r="W23" s="2" t="str">
        <f t="shared" si="5"/>
        <v/>
      </c>
      <c r="X23" s="2" t="str">
        <f t="shared" si="6"/>
        <v/>
      </c>
    </row>
    <row r="24" spans="1:24" s="2" customFormat="1" x14ac:dyDescent="0.25">
      <c r="A24" s="3" t="s">
        <v>26</v>
      </c>
      <c r="B24" t="str">
        <f t="shared" si="7"/>
        <v>,"Ossigeno"</v>
      </c>
      <c r="C24" s="3"/>
      <c r="D24" s="3" t="s">
        <v>396</v>
      </c>
      <c r="E24" s="2" t="s">
        <v>8</v>
      </c>
      <c r="K24" s="2" t="str">
        <f t="shared" si="8"/>
        <v xml:space="preserve">boolean,     </v>
      </c>
      <c r="L24" s="2" t="s">
        <v>398</v>
      </c>
      <c r="M24" s="2" t="str">
        <f t="shared" si="0"/>
        <v>FLG_OSSIGENO</v>
      </c>
      <c r="N24" s="2" t="s">
        <v>264</v>
      </c>
      <c r="O24" s="2" t="str">
        <f t="shared" si="1"/>
        <v>ALTER TABLE TEMP_PDL RENAME "Ossigeno" TO FLG_OSSIGENO;</v>
      </c>
      <c r="P24" s="2" t="str">
        <f t="shared" si="9"/>
        <v>ALTER TABLE PDL ADD COLUMN FLG_OSSIGENO boolean     ;</v>
      </c>
      <c r="Q24" s="2" t="str">
        <f t="shared" si="10"/>
        <v>FLG_OSSIGENO,</v>
      </c>
      <c r="R24" s="2" t="str">
        <f t="shared" si="11"/>
        <v>public static final String  FLG_OSSIGENO = "FLG_OSSIGENO";</v>
      </c>
      <c r="S24" s="2" t="str">
        <f t="shared" si="2"/>
        <v/>
      </c>
      <c r="T24" s="2" t="str">
        <f t="shared" si="3"/>
        <v/>
      </c>
      <c r="V24" s="2" t="str">
        <f t="shared" si="4"/>
        <v>$('#FLG_OSSIGENO').val($('#FLG_OSSIGENO').is(':checked'));</v>
      </c>
      <c r="W24" s="2" t="str">
        <f t="shared" si="5"/>
        <v>$('#FLG_OSSIGENO').prop('checked','&lt;#if FLG_OSSIGENO?exists &amp;&amp; FLG_OSSIGENO!=''&gt;${FLG_OSSIGENO}&lt;#else&gt;true&lt;/#if&gt;'==='true')</v>
      </c>
      <c r="X24" s="2" t="str">
        <f t="shared" si="6"/>
        <v>addNoStringField(FLG_OSSIGENO, Boolean.class);</v>
      </c>
    </row>
    <row r="25" spans="1:24" s="2" customFormat="1" x14ac:dyDescent="0.25">
      <c r="A25" s="3" t="s">
        <v>27</v>
      </c>
      <c r="B25" t="str">
        <f t="shared" si="7"/>
        <v>,"Azoto"</v>
      </c>
      <c r="C25" s="3"/>
      <c r="D25" s="3" t="s">
        <v>396</v>
      </c>
      <c r="E25" s="2" t="s">
        <v>8</v>
      </c>
      <c r="K25" s="2" t="str">
        <f t="shared" si="8"/>
        <v xml:space="preserve">boolean,     </v>
      </c>
      <c r="L25" s="2" t="s">
        <v>398</v>
      </c>
      <c r="M25" s="2" t="str">
        <f t="shared" si="0"/>
        <v>FLG_AZOTO</v>
      </c>
      <c r="N25" s="2" t="s">
        <v>265</v>
      </c>
      <c r="O25" s="2" t="str">
        <f t="shared" si="1"/>
        <v>ALTER TABLE TEMP_PDL RENAME "Azoto" TO FLG_AZOTO;</v>
      </c>
      <c r="P25" s="2" t="str">
        <f t="shared" si="9"/>
        <v>ALTER TABLE PDL ADD COLUMN FLG_AZOTO boolean     ;</v>
      </c>
      <c r="Q25" s="2" t="str">
        <f t="shared" si="10"/>
        <v>FLG_AZOTO,</v>
      </c>
      <c r="R25" s="2" t="str">
        <f t="shared" si="11"/>
        <v>public static final String  FLG_AZOTO = "FLG_AZOTO";</v>
      </c>
      <c r="S25" s="2" t="str">
        <f t="shared" si="2"/>
        <v/>
      </c>
      <c r="T25" s="2" t="str">
        <f t="shared" si="3"/>
        <v/>
      </c>
      <c r="V25" s="2" t="str">
        <f t="shared" si="4"/>
        <v>$('#FLG_AZOTO').val($('#FLG_AZOTO').is(':checked'));</v>
      </c>
      <c r="W25" s="2" t="str">
        <f t="shared" si="5"/>
        <v>$('#FLG_AZOTO').prop('checked','&lt;#if FLG_AZOTO?exists &amp;&amp; FLG_AZOTO!=''&gt;${FLG_AZOTO}&lt;#else&gt;true&lt;/#if&gt;'==='true')</v>
      </c>
      <c r="X25" s="2" t="str">
        <f t="shared" si="6"/>
        <v>addNoStringField(FLG_AZOTO, Boolean.class);</v>
      </c>
    </row>
    <row r="26" spans="1:24" s="2" customFormat="1" x14ac:dyDescent="0.25">
      <c r="A26" s="3" t="s">
        <v>28</v>
      </c>
      <c r="B26" t="str">
        <f t="shared" si="7"/>
        <v>,"Argon"</v>
      </c>
      <c r="C26" s="3"/>
      <c r="D26" s="3" t="s">
        <v>396</v>
      </c>
      <c r="E26" s="2" t="s">
        <v>8</v>
      </c>
      <c r="K26" s="2" t="str">
        <f t="shared" si="8"/>
        <v xml:space="preserve">boolean,     </v>
      </c>
      <c r="L26" s="2" t="s">
        <v>398</v>
      </c>
      <c r="M26" s="2" t="str">
        <f t="shared" si="0"/>
        <v>FLG_ARGON</v>
      </c>
      <c r="N26" s="2" t="s">
        <v>266</v>
      </c>
      <c r="O26" s="2" t="str">
        <f t="shared" si="1"/>
        <v>ALTER TABLE TEMP_PDL RENAME "Argon" TO FLG_ARGON;</v>
      </c>
      <c r="P26" s="2" t="str">
        <f t="shared" si="9"/>
        <v>ALTER TABLE PDL ADD COLUMN FLG_ARGON boolean     ;</v>
      </c>
      <c r="Q26" s="2" t="str">
        <f t="shared" si="10"/>
        <v>FLG_ARGON,</v>
      </c>
      <c r="R26" s="2" t="str">
        <f t="shared" si="11"/>
        <v>public static final String  FLG_ARGON = "FLG_ARGON";</v>
      </c>
      <c r="S26" s="2" t="str">
        <f t="shared" si="2"/>
        <v/>
      </c>
      <c r="T26" s="2" t="str">
        <f t="shared" si="3"/>
        <v/>
      </c>
      <c r="V26" s="2" t="str">
        <f t="shared" si="4"/>
        <v>$('#FLG_ARGON').val($('#FLG_ARGON').is(':checked'));</v>
      </c>
      <c r="W26" s="2" t="str">
        <f t="shared" si="5"/>
        <v>$('#FLG_ARGON').prop('checked','&lt;#if FLG_ARGON?exists &amp;&amp; FLG_ARGON!=''&gt;${FLG_ARGON}&lt;#else&gt;true&lt;/#if&gt;'==='true')</v>
      </c>
      <c r="X26" s="2" t="str">
        <f t="shared" si="6"/>
        <v>addNoStringField(FLG_ARGON, Boolean.class);</v>
      </c>
    </row>
    <row r="27" spans="1:24" s="2" customFormat="1" x14ac:dyDescent="0.25">
      <c r="A27" s="3" t="s">
        <v>29</v>
      </c>
      <c r="B27" t="str">
        <f t="shared" si="7"/>
        <v>,"Liquidi Criogenici"</v>
      </c>
      <c r="C27" s="3"/>
      <c r="D27" s="3" t="s">
        <v>396</v>
      </c>
      <c r="E27" s="2" t="s">
        <v>8</v>
      </c>
      <c r="K27" s="2" t="str">
        <f t="shared" si="8"/>
        <v xml:space="preserve">boolean,     </v>
      </c>
      <c r="L27" s="2" t="s">
        <v>398</v>
      </c>
      <c r="M27" s="2" t="str">
        <f t="shared" si="0"/>
        <v>FLG_LIQUIDI_CRIOGENICI</v>
      </c>
      <c r="N27" s="2" t="s">
        <v>267</v>
      </c>
      <c r="O27" s="2" t="str">
        <f t="shared" si="1"/>
        <v>ALTER TABLE TEMP_PDL RENAME "Liquidi Criogenici" TO FLG_LIQUIDI_CRIOGENICI;</v>
      </c>
      <c r="P27" s="2" t="str">
        <f t="shared" si="9"/>
        <v>ALTER TABLE PDL ADD COLUMN FLG_LIQUIDI_CRIOGENICI boolean     ;</v>
      </c>
      <c r="Q27" s="2" t="str">
        <f t="shared" si="10"/>
        <v>FLG_LIQUIDI_CRIOGENICI,</v>
      </c>
      <c r="R27" s="2" t="str">
        <f t="shared" si="11"/>
        <v>public static final String  FLG_LIQUIDI_CRIOGENICI = "FLG_LIQUIDI_CRIOGENICI";</v>
      </c>
      <c r="S27" s="2" t="str">
        <f t="shared" si="2"/>
        <v/>
      </c>
      <c r="T27" s="2" t="str">
        <f t="shared" si="3"/>
        <v/>
      </c>
      <c r="V27" s="2" t="str">
        <f t="shared" si="4"/>
        <v>$('#FLG_LIQUIDI_CRIOGENICI').val($('#FLG_LIQUIDI_CRIOGENICI').is(':checked'));</v>
      </c>
      <c r="W27" s="2" t="str">
        <f t="shared" si="5"/>
        <v>$('#FLG_LIQUIDI_CRIOGENICI').prop('checked','&lt;#if FLG_LIQUIDI_CRIOGENICI?exists &amp;&amp; FLG_LIQUIDI_CRIOGENICI!=''&gt;${FLG_LIQUIDI_CRIOGENICI}&lt;#else&gt;true&lt;/#if&gt;'==='true')</v>
      </c>
      <c r="X27" s="2" t="str">
        <f t="shared" si="6"/>
        <v>addNoStringField(FLG_LIQUIDI_CRIOGENICI, Boolean.class);</v>
      </c>
    </row>
    <row r="28" spans="1:24" s="2" customFormat="1" x14ac:dyDescent="0.25">
      <c r="A28" s="3" t="s">
        <v>30</v>
      </c>
      <c r="B28" t="str">
        <f t="shared" si="7"/>
        <v>,"Metano o gas naturale"</v>
      </c>
      <c r="C28" s="3"/>
      <c r="D28" s="3" t="s">
        <v>396</v>
      </c>
      <c r="E28" s="2" t="s">
        <v>8</v>
      </c>
      <c r="K28" s="2" t="str">
        <f t="shared" si="8"/>
        <v xml:space="preserve">boolean,     </v>
      </c>
      <c r="L28" s="2" t="s">
        <v>398</v>
      </c>
      <c r="M28" s="2" t="str">
        <f t="shared" si="0"/>
        <v>FLG_METANO_O_GAS_NATURALE</v>
      </c>
      <c r="N28" s="2" t="s">
        <v>268</v>
      </c>
      <c r="O28" s="2" t="str">
        <f t="shared" si="1"/>
        <v>ALTER TABLE TEMP_PDL RENAME "Metano o gas naturale" TO FLG_METANO_O_GAS_NATURALE;</v>
      </c>
      <c r="P28" s="2" t="str">
        <f t="shared" si="9"/>
        <v>ALTER TABLE PDL ADD COLUMN FLG_METANO_O_GAS_NATURALE boolean     ;</v>
      </c>
      <c r="Q28" s="2" t="str">
        <f t="shared" si="10"/>
        <v>FLG_METANO_O_GAS_NATURALE,</v>
      </c>
      <c r="R28" s="2" t="str">
        <f t="shared" si="11"/>
        <v>public static final String  FLG_METANO_O_GAS_NATURALE = "FLG_METANO_O_GAS_NATURALE";</v>
      </c>
      <c r="S28" s="2" t="str">
        <f t="shared" si="2"/>
        <v/>
      </c>
      <c r="T28" s="2" t="str">
        <f t="shared" si="3"/>
        <v/>
      </c>
      <c r="V28" s="2" t="str">
        <f t="shared" si="4"/>
        <v>$('#FLG_METANO_O_GAS_NATURALE').val($('#FLG_METANO_O_GAS_NATURALE').is(':checked'));</v>
      </c>
      <c r="W28" s="2" t="str">
        <f t="shared" si="5"/>
        <v>$('#FLG_METANO_O_GAS_NATURALE').prop('checked','&lt;#if FLG_METANO_O_GAS_NATURALE?exists &amp;&amp; FLG_METANO_O_GAS_NATURALE!=''&gt;${FLG_METANO_O_GAS_NATURALE}&lt;#else&gt;true&lt;/#if&gt;'==='true')</v>
      </c>
      <c r="X28" s="2" t="str">
        <f t="shared" si="6"/>
        <v>addNoStringField(FLG_METANO_O_GAS_NATURALE, Boolean.class);</v>
      </c>
    </row>
    <row r="29" spans="1:24" s="2" customFormat="1" x14ac:dyDescent="0.25">
      <c r="A29" s="3" t="s">
        <v>31</v>
      </c>
      <c r="B29" t="str">
        <f t="shared" si="7"/>
        <v>,"Idrocarburi"</v>
      </c>
      <c r="C29" s="3"/>
      <c r="D29" s="3" t="s">
        <v>396</v>
      </c>
      <c r="E29" s="2" t="s">
        <v>8</v>
      </c>
      <c r="K29" s="2" t="str">
        <f t="shared" si="8"/>
        <v xml:space="preserve">boolean,     </v>
      </c>
      <c r="L29" s="2" t="s">
        <v>398</v>
      </c>
      <c r="M29" s="2" t="str">
        <f t="shared" si="0"/>
        <v>FLG_IDROCARBURI</v>
      </c>
      <c r="N29" s="2" t="s">
        <v>269</v>
      </c>
      <c r="O29" s="2" t="str">
        <f t="shared" si="1"/>
        <v>ALTER TABLE TEMP_PDL RENAME "Idrocarburi" TO FLG_IDROCARBURI;</v>
      </c>
      <c r="P29" s="2" t="str">
        <f t="shared" si="9"/>
        <v>ALTER TABLE PDL ADD COLUMN FLG_IDROCARBURI boolean     ;</v>
      </c>
      <c r="Q29" s="2" t="str">
        <f t="shared" si="10"/>
        <v>FLG_IDROCARBURI,</v>
      </c>
      <c r="R29" s="2" t="str">
        <f t="shared" si="11"/>
        <v>public static final String  FLG_IDROCARBURI = "FLG_IDROCARBURI";</v>
      </c>
      <c r="S29" s="2" t="str">
        <f t="shared" si="2"/>
        <v/>
      </c>
      <c r="T29" s="2" t="str">
        <f t="shared" si="3"/>
        <v/>
      </c>
      <c r="V29" s="2" t="str">
        <f t="shared" si="4"/>
        <v>$('#FLG_IDROCARBURI').val($('#FLG_IDROCARBURI').is(':checked'));</v>
      </c>
      <c r="W29" s="2" t="str">
        <f t="shared" si="5"/>
        <v>$('#FLG_IDROCARBURI').prop('checked','&lt;#if FLG_IDROCARBURI?exists &amp;&amp; FLG_IDROCARBURI!=''&gt;${FLG_IDROCARBURI}&lt;#else&gt;true&lt;/#if&gt;'==='true')</v>
      </c>
      <c r="X29" s="2" t="str">
        <f t="shared" si="6"/>
        <v>addNoStringField(FLG_IDROCARBURI, Boolean.class);</v>
      </c>
    </row>
    <row r="30" spans="1:24" s="2" customFormat="1" x14ac:dyDescent="0.25">
      <c r="A30" s="3" t="s">
        <v>32</v>
      </c>
      <c r="B30" t="str">
        <f t="shared" si="7"/>
        <v>,"Perlite"</v>
      </c>
      <c r="C30" s="3"/>
      <c r="D30" s="3" t="s">
        <v>396</v>
      </c>
      <c r="E30" s="2" t="s">
        <v>8</v>
      </c>
      <c r="K30" s="2" t="str">
        <f t="shared" si="8"/>
        <v xml:space="preserve">boolean,     </v>
      </c>
      <c r="L30" s="2" t="s">
        <v>398</v>
      </c>
      <c r="M30" s="2" t="str">
        <f t="shared" si="0"/>
        <v>FLG_PERLITE</v>
      </c>
      <c r="N30" s="2" t="s">
        <v>270</v>
      </c>
      <c r="O30" s="2" t="str">
        <f t="shared" si="1"/>
        <v>ALTER TABLE TEMP_PDL RENAME "Perlite" TO FLG_PERLITE;</v>
      </c>
      <c r="P30" s="2" t="str">
        <f t="shared" si="9"/>
        <v>ALTER TABLE PDL ADD COLUMN FLG_PERLITE boolean     ;</v>
      </c>
      <c r="Q30" s="2" t="str">
        <f t="shared" si="10"/>
        <v>FLG_PERLITE,</v>
      </c>
      <c r="R30" s="2" t="str">
        <f t="shared" si="11"/>
        <v>public static final String  FLG_PERLITE = "FLG_PERLITE";</v>
      </c>
      <c r="S30" s="2" t="str">
        <f t="shared" si="2"/>
        <v/>
      </c>
      <c r="T30" s="2" t="str">
        <f t="shared" si="3"/>
        <v/>
      </c>
      <c r="V30" s="2" t="str">
        <f t="shared" si="4"/>
        <v>$('#FLG_PERLITE').val($('#FLG_PERLITE').is(':checked'));</v>
      </c>
      <c r="W30" s="2" t="str">
        <f t="shared" si="5"/>
        <v>$('#FLG_PERLITE').prop('checked','&lt;#if FLG_PERLITE?exists &amp;&amp; FLG_PERLITE!=''&gt;${FLG_PERLITE}&lt;#else&gt;true&lt;/#if&gt;'==='true')</v>
      </c>
      <c r="X30" s="2" t="str">
        <f t="shared" si="6"/>
        <v>addNoStringField(FLG_PERLITE, Boolean.class);</v>
      </c>
    </row>
    <row r="31" spans="1:24" s="2" customFormat="1" x14ac:dyDescent="0.25">
      <c r="A31" s="3" t="s">
        <v>33</v>
      </c>
      <c r="B31" t="str">
        <f t="shared" si="7"/>
        <v>,"Butano"</v>
      </c>
      <c r="C31" s="3"/>
      <c r="D31" s="3" t="s">
        <v>396</v>
      </c>
      <c r="E31" s="2" t="s">
        <v>8</v>
      </c>
      <c r="K31" s="2" t="str">
        <f t="shared" si="8"/>
        <v xml:space="preserve">boolean,     </v>
      </c>
      <c r="L31" s="2" t="s">
        <v>398</v>
      </c>
      <c r="M31" s="2" t="str">
        <f t="shared" si="0"/>
        <v>FLG_BUTANO</v>
      </c>
      <c r="N31" s="2" t="s">
        <v>271</v>
      </c>
      <c r="O31" s="2" t="str">
        <f t="shared" si="1"/>
        <v>ALTER TABLE TEMP_PDL RENAME "Butano" TO FLG_BUTANO;</v>
      </c>
      <c r="P31" s="2" t="str">
        <f t="shared" si="9"/>
        <v>ALTER TABLE PDL ADD COLUMN FLG_BUTANO boolean     ;</v>
      </c>
      <c r="Q31" s="2" t="str">
        <f t="shared" si="10"/>
        <v>FLG_BUTANO,</v>
      </c>
      <c r="R31" s="2" t="str">
        <f t="shared" si="11"/>
        <v>public static final String  FLG_BUTANO = "FLG_BUTANO";</v>
      </c>
      <c r="S31" s="2" t="str">
        <f t="shared" si="2"/>
        <v/>
      </c>
      <c r="T31" s="2" t="str">
        <f t="shared" si="3"/>
        <v/>
      </c>
      <c r="V31" s="2" t="str">
        <f t="shared" si="4"/>
        <v>$('#FLG_BUTANO').val($('#FLG_BUTANO').is(':checked'));</v>
      </c>
      <c r="W31" s="2" t="str">
        <f t="shared" si="5"/>
        <v>$('#FLG_BUTANO').prop('checked','&lt;#if FLG_BUTANO?exists &amp;&amp; FLG_BUTANO!=''&gt;${FLG_BUTANO}&lt;#else&gt;true&lt;/#if&gt;'==='true')</v>
      </c>
      <c r="X31" s="2" t="str">
        <f t="shared" si="6"/>
        <v>addNoStringField(FLG_BUTANO, Boolean.class);</v>
      </c>
    </row>
    <row r="32" spans="1:24" s="2" customFormat="1" x14ac:dyDescent="0.25">
      <c r="A32" s="3" t="s">
        <v>34</v>
      </c>
      <c r="B32" t="str">
        <f t="shared" si="7"/>
        <v>,"SynGas"</v>
      </c>
      <c r="C32" s="3"/>
      <c r="D32" s="3" t="s">
        <v>396</v>
      </c>
      <c r="E32" s="2" t="s">
        <v>8</v>
      </c>
      <c r="K32" s="2" t="str">
        <f t="shared" si="8"/>
        <v xml:space="preserve">boolean,     </v>
      </c>
      <c r="L32" s="2" t="s">
        <v>398</v>
      </c>
      <c r="M32" s="2" t="str">
        <f t="shared" si="0"/>
        <v>FLG_SYNGAS</v>
      </c>
      <c r="N32" s="2" t="s">
        <v>272</v>
      </c>
      <c r="O32" s="2" t="str">
        <f t="shared" si="1"/>
        <v>ALTER TABLE TEMP_PDL RENAME "SynGas" TO FLG_SYNGAS;</v>
      </c>
      <c r="P32" s="2" t="str">
        <f t="shared" si="9"/>
        <v>ALTER TABLE PDL ADD COLUMN FLG_SYNGAS boolean     ;</v>
      </c>
      <c r="Q32" s="2" t="str">
        <f t="shared" si="10"/>
        <v>FLG_SYNGAS,</v>
      </c>
      <c r="R32" s="2" t="str">
        <f t="shared" si="11"/>
        <v>public static final String  FLG_SYNGAS = "FLG_SYNGAS";</v>
      </c>
      <c r="S32" s="2" t="str">
        <f t="shared" si="2"/>
        <v/>
      </c>
      <c r="T32" s="2" t="str">
        <f t="shared" si="3"/>
        <v/>
      </c>
      <c r="V32" s="2" t="str">
        <f t="shared" si="4"/>
        <v>$('#FLG_SYNGAS').val($('#FLG_SYNGAS').is(':checked'));</v>
      </c>
      <c r="W32" s="2" t="str">
        <f t="shared" si="5"/>
        <v>$('#FLG_SYNGAS').prop('checked','&lt;#if FLG_SYNGAS?exists &amp;&amp; FLG_SYNGAS!=''&gt;${FLG_SYNGAS}&lt;#else&gt;true&lt;/#if&gt;'==='true')</v>
      </c>
      <c r="X32" s="2" t="str">
        <f t="shared" si="6"/>
        <v>addNoStringField(FLG_SYNGAS, Boolean.class);</v>
      </c>
    </row>
    <row r="33" spans="1:24" s="2" customFormat="1" x14ac:dyDescent="0.25">
      <c r="A33" s="3" t="s">
        <v>35</v>
      </c>
      <c r="B33" t="str">
        <f t="shared" si="7"/>
        <v>,"Idrogeno"</v>
      </c>
      <c r="C33" s="3"/>
      <c r="D33" s="3" t="s">
        <v>396</v>
      </c>
      <c r="E33" s="2" t="s">
        <v>8</v>
      </c>
      <c r="K33" s="2" t="str">
        <f t="shared" si="8"/>
        <v xml:space="preserve">boolean,     </v>
      </c>
      <c r="L33" s="2" t="s">
        <v>398</v>
      </c>
      <c r="M33" s="2" t="str">
        <f t="shared" ref="M33:M64" si="12">CONCATENATE(IF(E33="boolean,","FLG_",""),IF(E33="boolean","FLG_",""),IF(C33&lt;&gt;"",C33,SUBSTITUTE(SUBSTITUTE(UPPER(SUBSTITUTE(SUBSTITUTE(SUBSTITUTE(SUBSTITUTE(SUBSTITUTE(SUBSTITUTE(SUBSTITUTE(A33,"'",""),"-","_"),"à","a"),"ù","u"),"/","_"),"°","")," ","_")),"__","_"),"__","_")))</f>
        <v>FLG_IDROGENO</v>
      </c>
      <c r="N33" s="2" t="s">
        <v>273</v>
      </c>
      <c r="O33" s="2" t="str">
        <f t="shared" ref="O33:O64" si="13">CONCATENATE("ALTER TABLE TEMP_PDL RENAME """,A33,""" TO ",N33,";")</f>
        <v>ALTER TABLE TEMP_PDL RENAME "Idrogeno" TO FLG_IDROGENO;</v>
      </c>
      <c r="P33" s="2" t="str">
        <f t="shared" si="9"/>
        <v>ALTER TABLE PDL ADD COLUMN FLG_IDROGENO boolean     ;</v>
      </c>
      <c r="Q33" s="2" t="str">
        <f t="shared" si="10"/>
        <v>FLG_IDROGENO,</v>
      </c>
      <c r="R33" s="2" t="str">
        <f t="shared" si="11"/>
        <v>public static final String  FLG_IDROGENO = "FLG_IDROGENO";</v>
      </c>
      <c r="S33" s="2" t="str">
        <f t="shared" ref="S33:S64" si="14">IF(E33="timestamp",CONCATENATE("addNoStringField(",N33,", Timestamp.class);"),"")</f>
        <v/>
      </c>
      <c r="T33" s="2" t="str">
        <f t="shared" ref="T33:T64" si="15">IF(MID(N33,1,3)="FLG","",CONCATENATE("$('#",N33,"').val('&lt;#if ",N33,"?exists&gt;${",N33,"}&lt;/#if&gt;')"))</f>
        <v/>
      </c>
      <c r="V33" s="2" t="str">
        <f t="shared" ref="V33:V64" si="16">IF(MID(M33,1,3)="FLG",CONCATENATE("$('#",N33,"').val($('#",N33,"').is(':checked'));"),"")</f>
        <v>$('#FLG_IDROGENO').val($('#FLG_IDROGENO').is(':checked'));</v>
      </c>
      <c r="W33" s="2" t="str">
        <f t="shared" ref="W33:W64" si="17">IF(MID(N33,1,3)="FLG",CONCATENATE("$('#",N33,"').prop('checked','&lt;#if ",N33,"?exists &amp;&amp; ",N33,"!=''&gt;${",N33,"}&lt;#else&gt;true&lt;/#if&gt;'==='true')"),"")</f>
        <v>$('#FLG_IDROGENO').prop('checked','&lt;#if FLG_IDROGENO?exists &amp;&amp; FLG_IDROGENO!=''&gt;${FLG_IDROGENO}&lt;#else&gt;true&lt;/#if&gt;'==='true')</v>
      </c>
      <c r="X33" s="2" t="str">
        <f t="shared" ref="X33:X64" si="18">IF(MID(Q33,1,3)="FLG",CONCATENATE("addNoStringField(",N33,", Boolean.class);"),"")</f>
        <v>addNoStringField(FLG_IDROGENO, Boolean.class);</v>
      </c>
    </row>
    <row r="34" spans="1:24" s="2" customFormat="1" x14ac:dyDescent="0.25">
      <c r="A34" s="3" t="s">
        <v>36</v>
      </c>
      <c r="B34" t="str">
        <f t="shared" si="7"/>
        <v>,"DMDS"</v>
      </c>
      <c r="C34" s="3"/>
      <c r="D34" s="3" t="s">
        <v>396</v>
      </c>
      <c r="E34" s="2" t="s">
        <v>8</v>
      </c>
      <c r="K34" s="2" t="str">
        <f t="shared" si="8"/>
        <v xml:space="preserve">boolean,     </v>
      </c>
      <c r="L34" s="2" t="s">
        <v>398</v>
      </c>
      <c r="M34" s="2" t="str">
        <f t="shared" si="12"/>
        <v>FLG_DMDS</v>
      </c>
      <c r="N34" s="2" t="s">
        <v>274</v>
      </c>
      <c r="O34" s="2" t="str">
        <f t="shared" si="13"/>
        <v>ALTER TABLE TEMP_PDL RENAME "DMDS" TO FLG_DMDS;</v>
      </c>
      <c r="P34" s="2" t="str">
        <f t="shared" si="9"/>
        <v>ALTER TABLE PDL ADD COLUMN FLG_DMDS boolean     ;</v>
      </c>
      <c r="Q34" s="2" t="str">
        <f t="shared" si="10"/>
        <v>FLG_DMDS,</v>
      </c>
      <c r="R34" s="2" t="str">
        <f t="shared" si="11"/>
        <v>public static final String  FLG_DMDS = "FLG_DMDS";</v>
      </c>
      <c r="S34" s="2" t="str">
        <f t="shared" si="14"/>
        <v/>
      </c>
      <c r="T34" s="2" t="str">
        <f t="shared" si="15"/>
        <v/>
      </c>
      <c r="V34" s="2" t="str">
        <f t="shared" si="16"/>
        <v>$('#FLG_DMDS').val($('#FLG_DMDS').is(':checked'));</v>
      </c>
      <c r="W34" s="2" t="str">
        <f t="shared" si="17"/>
        <v>$('#FLG_DMDS').prop('checked','&lt;#if FLG_DMDS?exists &amp;&amp; FLG_DMDS!=''&gt;${FLG_DMDS}&lt;#else&gt;true&lt;/#if&gt;'==='true')</v>
      </c>
      <c r="X34" s="2" t="str">
        <f t="shared" si="18"/>
        <v>addNoStringField(FLG_DMDS, Boolean.class);</v>
      </c>
    </row>
    <row r="35" spans="1:24" s="2" customFormat="1" x14ac:dyDescent="0.25">
      <c r="A35" s="3" t="s">
        <v>37</v>
      </c>
      <c r="B35" t="str">
        <f t="shared" si="7"/>
        <v>,"Oli"</v>
      </c>
      <c r="C35" s="3"/>
      <c r="D35" s="3" t="s">
        <v>396</v>
      </c>
      <c r="E35" s="2" t="s">
        <v>8</v>
      </c>
      <c r="K35" s="2" t="str">
        <f t="shared" si="8"/>
        <v xml:space="preserve">boolean,     </v>
      </c>
      <c r="L35" s="2" t="s">
        <v>398</v>
      </c>
      <c r="M35" s="2" t="str">
        <f t="shared" si="12"/>
        <v>FLG_OLI</v>
      </c>
      <c r="N35" s="2" t="s">
        <v>275</v>
      </c>
      <c r="O35" s="2" t="str">
        <f t="shared" si="13"/>
        <v>ALTER TABLE TEMP_PDL RENAME "Oli" TO FLG_OLI;</v>
      </c>
      <c r="P35" s="2" t="str">
        <f t="shared" si="9"/>
        <v>ALTER TABLE PDL ADD COLUMN FLG_OLI boolean     ;</v>
      </c>
      <c r="Q35" s="2" t="str">
        <f t="shared" si="10"/>
        <v>FLG_OLI,</v>
      </c>
      <c r="R35" s="2" t="str">
        <f t="shared" si="11"/>
        <v>public static final String  FLG_OLI = "FLG_OLI";</v>
      </c>
      <c r="S35" s="2" t="str">
        <f t="shared" si="14"/>
        <v/>
      </c>
      <c r="T35" s="2" t="str">
        <f t="shared" si="15"/>
        <v/>
      </c>
      <c r="V35" s="2" t="str">
        <f t="shared" si="16"/>
        <v>$('#FLG_OLI').val($('#FLG_OLI').is(':checked'));</v>
      </c>
      <c r="W35" s="2" t="str">
        <f t="shared" si="17"/>
        <v>$('#FLG_OLI').prop('checked','&lt;#if FLG_OLI?exists &amp;&amp; FLG_OLI!=''&gt;${FLG_OLI}&lt;#else&gt;true&lt;/#if&gt;'==='true')</v>
      </c>
      <c r="X35" s="2" t="str">
        <f t="shared" si="18"/>
        <v>addNoStringField(FLG_OLI, Boolean.class);</v>
      </c>
    </row>
    <row r="36" spans="1:24" s="2" customFormat="1" x14ac:dyDescent="0.25">
      <c r="A36" s="3" t="s">
        <v>38</v>
      </c>
      <c r="B36" t="str">
        <f t="shared" si="7"/>
        <v>,"Altro_sez1_Prodotti1_testo"</v>
      </c>
      <c r="C36" s="3"/>
      <c r="D36" s="3" t="s">
        <v>396</v>
      </c>
      <c r="E36" s="2" t="s">
        <v>0</v>
      </c>
      <c r="F36" s="2" t="s">
        <v>1</v>
      </c>
      <c r="K36" s="2" t="str">
        <f t="shared" si="8"/>
        <v xml:space="preserve">character varying(50),    </v>
      </c>
      <c r="L36" s="2" t="s">
        <v>397</v>
      </c>
      <c r="M36" s="2" t="str">
        <f t="shared" si="12"/>
        <v>ALTRO_SEZ1_PRODOTTI1_TESTO</v>
      </c>
      <c r="N36" s="2" t="s">
        <v>214</v>
      </c>
      <c r="O36" s="2" t="str">
        <f t="shared" si="13"/>
        <v>ALTER TABLE TEMP_PDL RENAME "Altro_sez1_Prodotti1_testo" TO ALTRO_SEZ1_PRODOTTI1_TESTO;</v>
      </c>
      <c r="P36" s="2" t="str">
        <f t="shared" si="9"/>
        <v>ALTER TABLE PDL ADD COLUMN ALTRO_SEZ1_PRODOTTI1_TESTO character varying(50)    ;</v>
      </c>
      <c r="Q36" s="2" t="str">
        <f t="shared" si="10"/>
        <v>ALTRO_SEZ1_PRODOTTI1_TESTO,</v>
      </c>
      <c r="R36" s="2" t="str">
        <f t="shared" si="11"/>
        <v>public static final String  ALTRO_SEZ1_PRODOTTI1_TESTO = "ALTRO_SEZ1_PRODOTTI1_TESTO";</v>
      </c>
      <c r="S36" s="2" t="str">
        <f t="shared" si="14"/>
        <v/>
      </c>
      <c r="T36" s="2" t="str">
        <f t="shared" si="15"/>
        <v>$('#ALTRO_SEZ1_PRODOTTI1_TESTO').val('&lt;#if ALTRO_SEZ1_PRODOTTI1_TESTO?exists&gt;${ALTRO_SEZ1_PRODOTTI1_TESTO}&lt;/#if&gt;')</v>
      </c>
      <c r="V36" s="2" t="str">
        <f t="shared" si="16"/>
        <v/>
      </c>
      <c r="W36" s="2" t="str">
        <f t="shared" si="17"/>
        <v/>
      </c>
      <c r="X36" s="2" t="str">
        <f t="shared" si="18"/>
        <v/>
      </c>
    </row>
    <row r="37" spans="1:24" s="2" customFormat="1" x14ac:dyDescent="0.25">
      <c r="A37" s="3" t="s">
        <v>39</v>
      </c>
      <c r="B37" t="str">
        <f t="shared" si="7"/>
        <v>,"Rumore"</v>
      </c>
      <c r="C37" s="3"/>
      <c r="D37" s="3" t="s">
        <v>396</v>
      </c>
      <c r="E37" s="2" t="s">
        <v>8</v>
      </c>
      <c r="K37" s="2" t="str">
        <f t="shared" si="8"/>
        <v xml:space="preserve">boolean,     </v>
      </c>
      <c r="L37" s="2" t="s">
        <v>398</v>
      </c>
      <c r="M37" s="2" t="str">
        <f t="shared" si="12"/>
        <v>FLG_RUMORE</v>
      </c>
      <c r="N37" s="2" t="s">
        <v>276</v>
      </c>
      <c r="O37" s="2" t="str">
        <f t="shared" si="13"/>
        <v>ALTER TABLE TEMP_PDL RENAME "Rumore" TO FLG_RUMORE;</v>
      </c>
      <c r="P37" s="2" t="str">
        <f t="shared" si="9"/>
        <v>ALTER TABLE PDL ADD COLUMN FLG_RUMORE boolean     ;</v>
      </c>
      <c r="Q37" s="2" t="str">
        <f t="shared" si="10"/>
        <v>FLG_RUMORE,</v>
      </c>
      <c r="R37" s="2" t="str">
        <f t="shared" si="11"/>
        <v>public static final String  FLG_RUMORE = "FLG_RUMORE";</v>
      </c>
      <c r="S37" s="2" t="str">
        <f t="shared" si="14"/>
        <v/>
      </c>
      <c r="T37" s="2" t="str">
        <f t="shared" si="15"/>
        <v/>
      </c>
      <c r="V37" s="2" t="str">
        <f t="shared" si="16"/>
        <v>$('#FLG_RUMORE').val($('#FLG_RUMORE').is(':checked'));</v>
      </c>
      <c r="W37" s="2" t="str">
        <f t="shared" si="17"/>
        <v>$('#FLG_RUMORE').prop('checked','&lt;#if FLG_RUMORE?exists &amp;&amp; FLG_RUMORE!=''&gt;${FLG_RUMORE}&lt;#else&gt;true&lt;/#if&gt;'==='true')</v>
      </c>
      <c r="X37" s="2" t="str">
        <f t="shared" si="18"/>
        <v>addNoStringField(FLG_RUMORE, Boolean.class);</v>
      </c>
    </row>
    <row r="38" spans="1:24" s="2" customFormat="1" x14ac:dyDescent="0.25">
      <c r="A38" s="3" t="s">
        <v>40</v>
      </c>
      <c r="B38" t="str">
        <f t="shared" si="7"/>
        <v>,"Alta Temperatura"</v>
      </c>
      <c r="C38" s="3"/>
      <c r="D38" s="3" t="s">
        <v>396</v>
      </c>
      <c r="E38" s="2" t="s">
        <v>8</v>
      </c>
      <c r="K38" s="2" t="str">
        <f t="shared" si="8"/>
        <v xml:space="preserve">boolean,     </v>
      </c>
      <c r="L38" s="2" t="s">
        <v>398</v>
      </c>
      <c r="M38" s="2" t="str">
        <f t="shared" si="12"/>
        <v>FLG_ALTA_TEMPERATURA</v>
      </c>
      <c r="N38" s="2" t="s">
        <v>277</v>
      </c>
      <c r="O38" s="2" t="str">
        <f t="shared" si="13"/>
        <v>ALTER TABLE TEMP_PDL RENAME "Alta Temperatura" TO FLG_ALTA_TEMPERATURA;</v>
      </c>
      <c r="P38" s="2" t="str">
        <f t="shared" si="9"/>
        <v>ALTER TABLE PDL ADD COLUMN FLG_ALTA_TEMPERATURA boolean     ;</v>
      </c>
      <c r="Q38" s="2" t="str">
        <f t="shared" si="10"/>
        <v>FLG_ALTA_TEMPERATURA,</v>
      </c>
      <c r="R38" s="2" t="str">
        <f t="shared" si="11"/>
        <v>public static final String  FLG_ALTA_TEMPERATURA = "FLG_ALTA_TEMPERATURA";</v>
      </c>
      <c r="S38" s="2" t="str">
        <f t="shared" si="14"/>
        <v/>
      </c>
      <c r="T38" s="2" t="str">
        <f t="shared" si="15"/>
        <v/>
      </c>
      <c r="V38" s="2" t="str">
        <f t="shared" si="16"/>
        <v>$('#FLG_ALTA_TEMPERATURA').val($('#FLG_ALTA_TEMPERATURA').is(':checked'));</v>
      </c>
      <c r="W38" s="2" t="str">
        <f t="shared" si="17"/>
        <v>$('#FLG_ALTA_TEMPERATURA').prop('checked','&lt;#if FLG_ALTA_TEMPERATURA?exists &amp;&amp; FLG_ALTA_TEMPERATURA!=''&gt;${FLG_ALTA_TEMPERATURA}&lt;#else&gt;true&lt;/#if&gt;'==='true')</v>
      </c>
      <c r="X38" s="2" t="str">
        <f t="shared" si="18"/>
        <v>addNoStringField(FLG_ALTA_TEMPERATURA, Boolean.class);</v>
      </c>
    </row>
    <row r="39" spans="1:24" s="2" customFormat="1" x14ac:dyDescent="0.25">
      <c r="A39" s="3" t="s">
        <v>41</v>
      </c>
      <c r="B39" t="str">
        <f t="shared" si="7"/>
        <v>,"Pressione"</v>
      </c>
      <c r="C39" s="3"/>
      <c r="D39" s="3" t="s">
        <v>396</v>
      </c>
      <c r="E39" s="2" t="s">
        <v>8</v>
      </c>
      <c r="K39" s="2" t="str">
        <f t="shared" si="8"/>
        <v xml:space="preserve">boolean,     </v>
      </c>
      <c r="L39" s="2" t="s">
        <v>398</v>
      </c>
      <c r="M39" s="2" t="str">
        <f t="shared" si="12"/>
        <v>FLG_PRESSIONE</v>
      </c>
      <c r="N39" s="2" t="s">
        <v>278</v>
      </c>
      <c r="O39" s="2" t="str">
        <f t="shared" si="13"/>
        <v>ALTER TABLE TEMP_PDL RENAME "Pressione" TO FLG_PRESSIONE;</v>
      </c>
      <c r="P39" s="2" t="str">
        <f t="shared" si="9"/>
        <v>ALTER TABLE PDL ADD COLUMN FLG_PRESSIONE boolean     ;</v>
      </c>
      <c r="Q39" s="2" t="str">
        <f t="shared" si="10"/>
        <v>FLG_PRESSIONE,</v>
      </c>
      <c r="R39" s="2" t="str">
        <f t="shared" si="11"/>
        <v>public static final String  FLG_PRESSIONE = "FLG_PRESSIONE";</v>
      </c>
      <c r="S39" s="2" t="str">
        <f t="shared" si="14"/>
        <v/>
      </c>
      <c r="T39" s="2" t="str">
        <f t="shared" si="15"/>
        <v/>
      </c>
      <c r="V39" s="2" t="str">
        <f t="shared" si="16"/>
        <v>$('#FLG_PRESSIONE').val($('#FLG_PRESSIONE').is(':checked'));</v>
      </c>
      <c r="W39" s="2" t="str">
        <f t="shared" si="17"/>
        <v>$('#FLG_PRESSIONE').prop('checked','&lt;#if FLG_PRESSIONE?exists &amp;&amp; FLG_PRESSIONE!=''&gt;${FLG_PRESSIONE}&lt;#else&gt;true&lt;/#if&gt;'==='true')</v>
      </c>
      <c r="X39" s="2" t="str">
        <f t="shared" si="18"/>
        <v>addNoStringField(FLG_PRESSIONE, Boolean.class);</v>
      </c>
    </row>
    <row r="40" spans="1:24" s="2" customFormat="1" x14ac:dyDescent="0.25">
      <c r="A40" s="3" t="s">
        <v>42</v>
      </c>
      <c r="B40" t="str">
        <f t="shared" si="7"/>
        <v>,"Altezza"</v>
      </c>
      <c r="C40" s="3"/>
      <c r="D40" s="3" t="s">
        <v>396</v>
      </c>
      <c r="E40" s="2" t="s">
        <v>8</v>
      </c>
      <c r="K40" s="2" t="str">
        <f t="shared" si="8"/>
        <v xml:space="preserve">boolean,     </v>
      </c>
      <c r="L40" s="2" t="s">
        <v>398</v>
      </c>
      <c r="M40" s="2" t="str">
        <f t="shared" si="12"/>
        <v>FLG_ALTEZZA</v>
      </c>
      <c r="N40" s="2" t="s">
        <v>279</v>
      </c>
      <c r="O40" s="2" t="str">
        <f t="shared" si="13"/>
        <v>ALTER TABLE TEMP_PDL RENAME "Altezza" TO FLG_ALTEZZA;</v>
      </c>
      <c r="P40" s="2" t="str">
        <f t="shared" si="9"/>
        <v>ALTER TABLE PDL ADD COLUMN FLG_ALTEZZA boolean     ;</v>
      </c>
      <c r="Q40" s="2" t="str">
        <f t="shared" si="10"/>
        <v>FLG_ALTEZZA,</v>
      </c>
      <c r="R40" s="2" t="str">
        <f t="shared" si="11"/>
        <v>public static final String  FLG_ALTEZZA = "FLG_ALTEZZA";</v>
      </c>
      <c r="S40" s="2" t="str">
        <f t="shared" si="14"/>
        <v/>
      </c>
      <c r="T40" s="2" t="str">
        <f t="shared" si="15"/>
        <v/>
      </c>
      <c r="V40" s="2" t="str">
        <f t="shared" si="16"/>
        <v>$('#FLG_ALTEZZA').val($('#FLG_ALTEZZA').is(':checked'));</v>
      </c>
      <c r="W40" s="2" t="str">
        <f t="shared" si="17"/>
        <v>$('#FLG_ALTEZZA').prop('checked','&lt;#if FLG_ALTEZZA?exists &amp;&amp; FLG_ALTEZZA!=''&gt;${FLG_ALTEZZA}&lt;#else&gt;true&lt;/#if&gt;'==='true')</v>
      </c>
      <c r="X40" s="2" t="str">
        <f t="shared" si="18"/>
        <v>addNoStringField(FLG_ALTEZZA, Boolean.class);</v>
      </c>
    </row>
    <row r="41" spans="1:24" s="2" customFormat="1" x14ac:dyDescent="0.25">
      <c r="A41" s="3" t="s">
        <v>43</v>
      </c>
      <c r="B41" t="str">
        <f t="shared" si="7"/>
        <v>,"Criogenia / bassa temperatura"</v>
      </c>
      <c r="C41" s="3"/>
      <c r="D41" s="3" t="s">
        <v>396</v>
      </c>
      <c r="E41" s="2" t="s">
        <v>8</v>
      </c>
      <c r="K41" s="2" t="str">
        <f t="shared" si="8"/>
        <v xml:space="preserve">boolean,     </v>
      </c>
      <c r="L41" s="2" t="s">
        <v>398</v>
      </c>
      <c r="M41" s="2" t="str">
        <f t="shared" si="12"/>
        <v>FLG_CRIOGENIA_BASSA_TEMPERATURA</v>
      </c>
      <c r="N41" s="2" t="s">
        <v>280</v>
      </c>
      <c r="O41" s="2" t="str">
        <f t="shared" si="13"/>
        <v>ALTER TABLE TEMP_PDL RENAME "Criogenia / bassa temperatura" TO FLG_CRIOGENIA_BASSA_TEMPERATURA;</v>
      </c>
      <c r="P41" s="2" t="str">
        <f t="shared" si="9"/>
        <v>ALTER TABLE PDL ADD COLUMN FLG_CRIOGENIA_BASSA_TEMPERATURA boolean     ;</v>
      </c>
      <c r="Q41" s="2" t="str">
        <f t="shared" si="10"/>
        <v>FLG_CRIOGENIA_BASSA_TEMPERATURA,</v>
      </c>
      <c r="R41" s="2" t="str">
        <f t="shared" si="11"/>
        <v>public static final String  FLG_CRIOGENIA_BASSA_TEMPERATURA = "FLG_CRIOGENIA_BASSA_TEMPERATURA";</v>
      </c>
      <c r="S41" s="2" t="str">
        <f t="shared" si="14"/>
        <v/>
      </c>
      <c r="T41" s="2" t="str">
        <f t="shared" si="15"/>
        <v/>
      </c>
      <c r="V41" s="2" t="str">
        <f t="shared" si="16"/>
        <v>$('#FLG_CRIOGENIA_BASSA_TEMPERATURA').val($('#FLG_CRIOGENIA_BASSA_TEMPERATURA').is(':checked'));</v>
      </c>
      <c r="W41" s="2" t="str">
        <f t="shared" si="17"/>
        <v>$('#FLG_CRIOGENIA_BASSA_TEMPERATURA').prop('checked','&lt;#if FLG_CRIOGENIA_BASSA_TEMPERATURA?exists &amp;&amp; FLG_CRIOGENIA_BASSA_TEMPERATURA!=''&gt;${FLG_CRIOGENIA_BASSA_TEMPERATURA}&lt;#else&gt;true&lt;/#if&gt;'==='true')</v>
      </c>
      <c r="X41" s="2" t="str">
        <f t="shared" si="18"/>
        <v>addNoStringField(FLG_CRIOGENIA_BASSA_TEMPERATURA, Boolean.class);</v>
      </c>
    </row>
    <row r="42" spans="1:24" s="2" customFormat="1" x14ac:dyDescent="0.25">
      <c r="A42" s="3" t="s">
        <v>44</v>
      </c>
      <c r="B42" t="str">
        <f t="shared" si="7"/>
        <v>,"Parti in movimento"</v>
      </c>
      <c r="C42" s="3"/>
      <c r="D42" s="3" t="s">
        <v>396</v>
      </c>
      <c r="E42" s="2" t="s">
        <v>8</v>
      </c>
      <c r="K42" s="2" t="str">
        <f t="shared" si="8"/>
        <v xml:space="preserve">boolean,     </v>
      </c>
      <c r="L42" s="2" t="s">
        <v>398</v>
      </c>
      <c r="M42" s="2" t="str">
        <f t="shared" si="12"/>
        <v>FLG_PARTI_IN_MOVIMENTO</v>
      </c>
      <c r="N42" s="2" t="s">
        <v>281</v>
      </c>
      <c r="O42" s="2" t="str">
        <f t="shared" si="13"/>
        <v>ALTER TABLE TEMP_PDL RENAME "Parti in movimento" TO FLG_PARTI_IN_MOVIMENTO;</v>
      </c>
      <c r="P42" s="2" t="str">
        <f t="shared" si="9"/>
        <v>ALTER TABLE PDL ADD COLUMN FLG_PARTI_IN_MOVIMENTO boolean     ;</v>
      </c>
      <c r="Q42" s="2" t="str">
        <f t="shared" si="10"/>
        <v>FLG_PARTI_IN_MOVIMENTO,</v>
      </c>
      <c r="R42" s="2" t="str">
        <f t="shared" si="11"/>
        <v>public static final String  FLG_PARTI_IN_MOVIMENTO = "FLG_PARTI_IN_MOVIMENTO";</v>
      </c>
      <c r="S42" s="2" t="str">
        <f t="shared" si="14"/>
        <v/>
      </c>
      <c r="T42" s="2" t="str">
        <f t="shared" si="15"/>
        <v/>
      </c>
      <c r="V42" s="2" t="str">
        <f t="shared" si="16"/>
        <v>$('#FLG_PARTI_IN_MOVIMENTO').val($('#FLG_PARTI_IN_MOVIMENTO').is(':checked'));</v>
      </c>
      <c r="W42" s="2" t="str">
        <f t="shared" si="17"/>
        <v>$('#FLG_PARTI_IN_MOVIMENTO').prop('checked','&lt;#if FLG_PARTI_IN_MOVIMENTO?exists &amp;&amp; FLG_PARTI_IN_MOVIMENTO!=''&gt;${FLG_PARTI_IN_MOVIMENTO}&lt;#else&gt;true&lt;/#if&gt;'==='true')</v>
      </c>
      <c r="X42" s="2" t="str">
        <f t="shared" si="18"/>
        <v>addNoStringField(FLG_PARTI_IN_MOVIMENTO, Boolean.class);</v>
      </c>
    </row>
    <row r="43" spans="1:24" s="2" customFormat="1" x14ac:dyDescent="0.25">
      <c r="A43" s="3" t="s">
        <v>45</v>
      </c>
      <c r="B43" t="str">
        <f t="shared" si="7"/>
        <v>,"Appar/cavi elettrici"</v>
      </c>
      <c r="C43" s="3"/>
      <c r="D43" s="3" t="s">
        <v>396</v>
      </c>
      <c r="E43" s="2" t="s">
        <v>8</v>
      </c>
      <c r="K43" s="2" t="str">
        <f t="shared" si="8"/>
        <v xml:space="preserve">boolean,     </v>
      </c>
      <c r="L43" s="2" t="s">
        <v>398</v>
      </c>
      <c r="M43" s="2" t="str">
        <f t="shared" si="12"/>
        <v>FLG_APPAR_CAVI_ELETTRICI</v>
      </c>
      <c r="N43" s="2" t="s">
        <v>282</v>
      </c>
      <c r="O43" s="2" t="str">
        <f t="shared" si="13"/>
        <v>ALTER TABLE TEMP_PDL RENAME "Appar/cavi elettrici" TO FLG_APPAR_CAVI_ELETTRICI;</v>
      </c>
      <c r="P43" s="2" t="str">
        <f t="shared" si="9"/>
        <v>ALTER TABLE PDL ADD COLUMN FLG_APPAR_CAVI_ELETTRICI boolean     ;</v>
      </c>
      <c r="Q43" s="2" t="str">
        <f t="shared" si="10"/>
        <v>FLG_APPAR_CAVI_ELETTRICI,</v>
      </c>
      <c r="R43" s="2" t="str">
        <f t="shared" si="11"/>
        <v>public static final String  FLG_APPAR_CAVI_ELETTRICI = "FLG_APPAR_CAVI_ELETTRICI";</v>
      </c>
      <c r="S43" s="2" t="str">
        <f t="shared" si="14"/>
        <v/>
      </c>
      <c r="T43" s="2" t="str">
        <f t="shared" si="15"/>
        <v/>
      </c>
      <c r="V43" s="2" t="str">
        <f t="shared" si="16"/>
        <v>$('#FLG_APPAR_CAVI_ELETTRICI').val($('#FLG_APPAR_CAVI_ELETTRICI').is(':checked'));</v>
      </c>
      <c r="W43" s="2" t="str">
        <f t="shared" si="17"/>
        <v>$('#FLG_APPAR_CAVI_ELETTRICI').prop('checked','&lt;#if FLG_APPAR_CAVI_ELETTRICI?exists &amp;&amp; FLG_APPAR_CAVI_ELETTRICI!=''&gt;${FLG_APPAR_CAVI_ELETTRICI}&lt;#else&gt;true&lt;/#if&gt;'==='true')</v>
      </c>
      <c r="X43" s="2" t="str">
        <f t="shared" si="18"/>
        <v>addNoStringField(FLG_APPAR_CAVI_ELETTRICI, Boolean.class);</v>
      </c>
    </row>
    <row r="44" spans="1:24" s="2" customFormat="1" x14ac:dyDescent="0.25">
      <c r="A44" s="3" t="s">
        <v>46</v>
      </c>
      <c r="B44" t="str">
        <f t="shared" si="7"/>
        <v>,"Prodotti chimici"</v>
      </c>
      <c r="C44" s="3"/>
      <c r="D44" s="3" t="s">
        <v>396</v>
      </c>
      <c r="E44" s="2" t="s">
        <v>8</v>
      </c>
      <c r="K44" s="2" t="str">
        <f t="shared" si="8"/>
        <v xml:space="preserve">boolean,     </v>
      </c>
      <c r="L44" s="2" t="s">
        <v>398</v>
      </c>
      <c r="M44" s="2" t="str">
        <f t="shared" si="12"/>
        <v>FLG_PRODOTTI_CHIMICI</v>
      </c>
      <c r="N44" s="2" t="s">
        <v>283</v>
      </c>
      <c r="O44" s="2" t="str">
        <f t="shared" si="13"/>
        <v>ALTER TABLE TEMP_PDL RENAME "Prodotti chimici" TO FLG_PRODOTTI_CHIMICI;</v>
      </c>
      <c r="P44" s="2" t="str">
        <f t="shared" si="9"/>
        <v>ALTER TABLE PDL ADD COLUMN FLG_PRODOTTI_CHIMICI boolean     ;</v>
      </c>
      <c r="Q44" s="2" t="str">
        <f t="shared" si="10"/>
        <v>FLG_PRODOTTI_CHIMICI,</v>
      </c>
      <c r="R44" s="2" t="str">
        <f t="shared" si="11"/>
        <v>public static final String  FLG_PRODOTTI_CHIMICI = "FLG_PRODOTTI_CHIMICI";</v>
      </c>
      <c r="S44" s="2" t="str">
        <f t="shared" si="14"/>
        <v/>
      </c>
      <c r="T44" s="2" t="str">
        <f t="shared" si="15"/>
        <v/>
      </c>
      <c r="V44" s="2" t="str">
        <f t="shared" si="16"/>
        <v>$('#FLG_PRODOTTI_CHIMICI').val($('#FLG_PRODOTTI_CHIMICI').is(':checked'));</v>
      </c>
      <c r="W44" s="2" t="str">
        <f t="shared" si="17"/>
        <v>$('#FLG_PRODOTTI_CHIMICI').prop('checked','&lt;#if FLG_PRODOTTI_CHIMICI?exists &amp;&amp; FLG_PRODOTTI_CHIMICI!=''&gt;${FLG_PRODOTTI_CHIMICI}&lt;#else&gt;true&lt;/#if&gt;'==='true')</v>
      </c>
      <c r="X44" s="2" t="str">
        <f t="shared" si="18"/>
        <v>addNoStringField(FLG_PRODOTTI_CHIMICI, Boolean.class);</v>
      </c>
    </row>
    <row r="45" spans="1:24" s="2" customFormat="1" x14ac:dyDescent="0.25">
      <c r="A45" s="3" t="s">
        <v>47</v>
      </c>
      <c r="B45" t="str">
        <f t="shared" si="7"/>
        <v>,"Materiali infiammabili"</v>
      </c>
      <c r="C45" s="3"/>
      <c r="D45" s="3" t="s">
        <v>396</v>
      </c>
      <c r="E45" s="2" t="s">
        <v>8</v>
      </c>
      <c r="K45" s="2" t="str">
        <f t="shared" si="8"/>
        <v xml:space="preserve">boolean,     </v>
      </c>
      <c r="L45" s="2" t="s">
        <v>398</v>
      </c>
      <c r="M45" s="2" t="str">
        <f t="shared" si="12"/>
        <v>FLG_MATERIALI_INFIAMMABILI</v>
      </c>
      <c r="N45" s="2" t="s">
        <v>284</v>
      </c>
      <c r="O45" s="2" t="str">
        <f t="shared" si="13"/>
        <v>ALTER TABLE TEMP_PDL RENAME "Materiali infiammabili" TO FLG_MATERIALI_INFIAMMABILI;</v>
      </c>
      <c r="P45" s="2" t="str">
        <f t="shared" si="9"/>
        <v>ALTER TABLE PDL ADD COLUMN FLG_MATERIALI_INFIAMMABILI boolean     ;</v>
      </c>
      <c r="Q45" s="2" t="str">
        <f t="shared" si="10"/>
        <v>FLG_MATERIALI_INFIAMMABILI,</v>
      </c>
      <c r="R45" s="2" t="str">
        <f t="shared" si="11"/>
        <v>public static final String  FLG_MATERIALI_INFIAMMABILI = "FLG_MATERIALI_INFIAMMABILI";</v>
      </c>
      <c r="S45" s="2" t="str">
        <f t="shared" si="14"/>
        <v/>
      </c>
      <c r="T45" s="2" t="str">
        <f t="shared" si="15"/>
        <v/>
      </c>
      <c r="V45" s="2" t="str">
        <f t="shared" si="16"/>
        <v>$('#FLG_MATERIALI_INFIAMMABILI').val($('#FLG_MATERIALI_INFIAMMABILI').is(':checked'));</v>
      </c>
      <c r="W45" s="2" t="str">
        <f t="shared" si="17"/>
        <v>$('#FLG_MATERIALI_INFIAMMABILI').prop('checked','&lt;#if FLG_MATERIALI_INFIAMMABILI?exists &amp;&amp; FLG_MATERIALI_INFIAMMABILI!=''&gt;${FLG_MATERIALI_INFIAMMABILI}&lt;#else&gt;true&lt;/#if&gt;'==='true')</v>
      </c>
      <c r="X45" s="2" t="str">
        <f t="shared" si="18"/>
        <v>addNoStringField(FLG_MATERIALI_INFIAMMABILI, Boolean.class);</v>
      </c>
    </row>
    <row r="46" spans="1:24" s="2" customFormat="1" x14ac:dyDescent="0.25">
      <c r="A46" s="3" t="s">
        <v>48</v>
      </c>
      <c r="B46" t="str">
        <f t="shared" si="7"/>
        <v>,"Altro_sez1_Attivita1_testo"</v>
      </c>
      <c r="C46" s="3"/>
      <c r="D46" s="3" t="s">
        <v>396</v>
      </c>
      <c r="E46" s="2" t="s">
        <v>0</v>
      </c>
      <c r="F46" s="2" t="s">
        <v>1</v>
      </c>
      <c r="K46" s="2" t="str">
        <f t="shared" si="8"/>
        <v xml:space="preserve">character varying(50),    </v>
      </c>
      <c r="L46" s="2" t="s">
        <v>397</v>
      </c>
      <c r="M46" s="2" t="str">
        <f t="shared" si="12"/>
        <v>ALTRO_SEZ1_ATTIVITA1_TESTO</v>
      </c>
      <c r="N46" s="2" t="s">
        <v>215</v>
      </c>
      <c r="O46" s="2" t="str">
        <f t="shared" si="13"/>
        <v>ALTER TABLE TEMP_PDL RENAME "Altro_sez1_Attivita1_testo" TO ALTRO_SEZ1_ATTIVITA1_TESTO;</v>
      </c>
      <c r="P46" s="2" t="str">
        <f t="shared" si="9"/>
        <v>ALTER TABLE PDL ADD COLUMN ALTRO_SEZ1_ATTIVITA1_TESTO character varying(50)    ;</v>
      </c>
      <c r="Q46" s="2" t="str">
        <f t="shared" si="10"/>
        <v>ALTRO_SEZ1_ATTIVITA1_TESTO,</v>
      </c>
      <c r="R46" s="2" t="str">
        <f t="shared" si="11"/>
        <v>public static final String  ALTRO_SEZ1_ATTIVITA1_TESTO = "ALTRO_SEZ1_ATTIVITA1_TESTO";</v>
      </c>
      <c r="S46" s="2" t="str">
        <f t="shared" si="14"/>
        <v/>
      </c>
      <c r="T46" s="2" t="str">
        <f t="shared" si="15"/>
        <v>$('#ALTRO_SEZ1_ATTIVITA1_TESTO').val('&lt;#if ALTRO_SEZ1_ATTIVITA1_TESTO?exists&gt;${ALTRO_SEZ1_ATTIVITA1_TESTO}&lt;/#if&gt;')</v>
      </c>
      <c r="V46" s="2" t="str">
        <f t="shared" si="16"/>
        <v/>
      </c>
      <c r="W46" s="2" t="str">
        <f t="shared" si="17"/>
        <v/>
      </c>
      <c r="X46" s="2" t="str">
        <f t="shared" si="18"/>
        <v/>
      </c>
    </row>
    <row r="47" spans="1:24" s="2" customFormat="1" x14ac:dyDescent="0.25">
      <c r="A47" s="3" t="s">
        <v>49</v>
      </c>
      <c r="B47" t="str">
        <f t="shared" si="7"/>
        <v>,"Intercettare"</v>
      </c>
      <c r="C47" s="3"/>
      <c r="D47" s="3" t="s">
        <v>396</v>
      </c>
      <c r="E47" s="2" t="s">
        <v>8</v>
      </c>
      <c r="K47" s="2" t="str">
        <f t="shared" si="8"/>
        <v xml:space="preserve">boolean,     </v>
      </c>
      <c r="L47" s="2" t="s">
        <v>398</v>
      </c>
      <c r="M47" s="2" t="str">
        <f t="shared" si="12"/>
        <v>FLG_INTERCETTARE</v>
      </c>
      <c r="N47" s="6" t="s">
        <v>285</v>
      </c>
      <c r="O47" s="2" t="str">
        <f t="shared" si="13"/>
        <v>ALTER TABLE TEMP_PDL RENAME "Intercettare" TO FLG_INTERCETTARE;</v>
      </c>
      <c r="P47" s="2" t="str">
        <f t="shared" si="9"/>
        <v>ALTER TABLE PDL ADD COLUMN FLG_INTERCETTARE boolean     ;</v>
      </c>
      <c r="Q47" s="2" t="str">
        <f t="shared" si="10"/>
        <v>FLG_INTERCETTARE,</v>
      </c>
      <c r="R47" s="2" t="str">
        <f t="shared" si="11"/>
        <v>public static final String  FLG_INTERCETTARE = "FLG_INTERCETTARE";</v>
      </c>
      <c r="S47" s="2" t="str">
        <f t="shared" si="14"/>
        <v/>
      </c>
      <c r="T47" s="2" t="str">
        <f t="shared" si="15"/>
        <v/>
      </c>
      <c r="V47" s="2" t="str">
        <f t="shared" si="16"/>
        <v>$('#FLG_INTERCETTARE').val($('#FLG_INTERCETTARE').is(':checked'));</v>
      </c>
      <c r="W47" s="2" t="str">
        <f t="shared" si="17"/>
        <v>$('#FLG_INTERCETTARE').prop('checked','&lt;#if FLG_INTERCETTARE?exists &amp;&amp; FLG_INTERCETTARE!=''&gt;${FLG_INTERCETTARE}&lt;#else&gt;true&lt;/#if&gt;'==='true')</v>
      </c>
      <c r="X47" s="2" t="str">
        <f t="shared" si="18"/>
        <v>addNoStringField(FLG_INTERCETTARE, Boolean.class);</v>
      </c>
    </row>
    <row r="48" spans="1:24" s="2" customFormat="1" x14ac:dyDescent="0.25">
      <c r="A48" s="3" t="s">
        <v>50</v>
      </c>
      <c r="B48" t="str">
        <f t="shared" si="7"/>
        <v>,"Depressurizzare"</v>
      </c>
      <c r="C48" s="3"/>
      <c r="D48" s="3" t="s">
        <v>396</v>
      </c>
      <c r="E48" s="2" t="s">
        <v>8</v>
      </c>
      <c r="K48" s="2" t="str">
        <f t="shared" si="8"/>
        <v xml:space="preserve">boolean,     </v>
      </c>
      <c r="L48" s="2" t="s">
        <v>398</v>
      </c>
      <c r="M48" s="2" t="str">
        <f t="shared" si="12"/>
        <v>FLG_DEPRESSURIZZARE</v>
      </c>
      <c r="N48" s="6" t="s">
        <v>286</v>
      </c>
      <c r="O48" s="2" t="str">
        <f t="shared" si="13"/>
        <v>ALTER TABLE TEMP_PDL RENAME "Depressurizzare" TO FLG_DEPRESSURIZZARE;</v>
      </c>
      <c r="P48" s="2" t="str">
        <f t="shared" si="9"/>
        <v>ALTER TABLE PDL ADD COLUMN FLG_DEPRESSURIZZARE boolean     ;</v>
      </c>
      <c r="Q48" s="2" t="str">
        <f t="shared" si="10"/>
        <v>FLG_DEPRESSURIZZARE,</v>
      </c>
      <c r="R48" s="2" t="str">
        <f t="shared" si="11"/>
        <v>public static final String  FLG_DEPRESSURIZZARE = "FLG_DEPRESSURIZZARE";</v>
      </c>
      <c r="S48" s="2" t="str">
        <f t="shared" si="14"/>
        <v/>
      </c>
      <c r="T48" s="2" t="str">
        <f t="shared" si="15"/>
        <v/>
      </c>
      <c r="V48" s="2" t="str">
        <f t="shared" si="16"/>
        <v>$('#FLG_DEPRESSURIZZARE').val($('#FLG_DEPRESSURIZZARE').is(':checked'));</v>
      </c>
      <c r="W48" s="2" t="str">
        <f t="shared" si="17"/>
        <v>$('#FLG_DEPRESSURIZZARE').prop('checked','&lt;#if FLG_DEPRESSURIZZARE?exists &amp;&amp; FLG_DEPRESSURIZZARE!=''&gt;${FLG_DEPRESSURIZZARE}&lt;#else&gt;true&lt;/#if&gt;'==='true')</v>
      </c>
      <c r="X48" s="2" t="str">
        <f t="shared" si="18"/>
        <v>addNoStringField(FLG_DEPRESSURIZZARE, Boolean.class);</v>
      </c>
    </row>
    <row r="49" spans="1:24" s="2" customFormat="1" x14ac:dyDescent="0.25">
      <c r="A49" s="3" t="s">
        <v>51</v>
      </c>
      <c r="B49" t="str">
        <f t="shared" si="7"/>
        <v>,"Vuotare"</v>
      </c>
      <c r="C49" s="3"/>
      <c r="D49" s="3" t="s">
        <v>396</v>
      </c>
      <c r="E49" s="2" t="s">
        <v>8</v>
      </c>
      <c r="K49" s="2" t="str">
        <f t="shared" si="8"/>
        <v xml:space="preserve">boolean,     </v>
      </c>
      <c r="L49" s="2" t="s">
        <v>398</v>
      </c>
      <c r="M49" s="2" t="str">
        <f t="shared" si="12"/>
        <v>FLG_VUOTARE</v>
      </c>
      <c r="N49" s="6" t="s">
        <v>287</v>
      </c>
      <c r="O49" s="2" t="str">
        <f t="shared" si="13"/>
        <v>ALTER TABLE TEMP_PDL RENAME "Vuotare" TO FLG_VUOTARE;</v>
      </c>
      <c r="P49" s="2" t="str">
        <f t="shared" si="9"/>
        <v>ALTER TABLE PDL ADD COLUMN FLG_VUOTARE boolean     ;</v>
      </c>
      <c r="Q49" s="2" t="str">
        <f t="shared" si="10"/>
        <v>FLG_VUOTARE,</v>
      </c>
      <c r="R49" s="2" t="str">
        <f t="shared" si="11"/>
        <v>public static final String  FLG_VUOTARE = "FLG_VUOTARE";</v>
      </c>
      <c r="S49" s="2" t="str">
        <f t="shared" si="14"/>
        <v/>
      </c>
      <c r="T49" s="2" t="str">
        <f t="shared" si="15"/>
        <v/>
      </c>
      <c r="V49" s="2" t="str">
        <f t="shared" si="16"/>
        <v>$('#FLG_VUOTARE').val($('#FLG_VUOTARE').is(':checked'));</v>
      </c>
      <c r="W49" s="2" t="str">
        <f t="shared" si="17"/>
        <v>$('#FLG_VUOTARE').prop('checked','&lt;#if FLG_VUOTARE?exists &amp;&amp; FLG_VUOTARE!=''&gt;${FLG_VUOTARE}&lt;#else&gt;true&lt;/#if&gt;'==='true')</v>
      </c>
      <c r="X49" s="2" t="str">
        <f t="shared" si="18"/>
        <v>addNoStringField(FLG_VUOTARE, Boolean.class);</v>
      </c>
    </row>
    <row r="50" spans="1:24" s="2" customFormat="1" x14ac:dyDescent="0.25">
      <c r="A50" s="3" t="s">
        <v>52</v>
      </c>
      <c r="B50" t="str">
        <f t="shared" si="7"/>
        <v>,"Doppie valvole chiuse"</v>
      </c>
      <c r="C50" s="3"/>
      <c r="D50" s="3" t="s">
        <v>396</v>
      </c>
      <c r="E50" s="2" t="s">
        <v>8</v>
      </c>
      <c r="K50" s="2" t="str">
        <f t="shared" si="8"/>
        <v xml:space="preserve">boolean,     </v>
      </c>
      <c r="L50" s="2" t="s">
        <v>398</v>
      </c>
      <c r="M50" s="2" t="str">
        <f t="shared" si="12"/>
        <v>FLG_DOPPIE_VALVOLE_CHIUSE</v>
      </c>
      <c r="N50" s="6" t="s">
        <v>288</v>
      </c>
      <c r="O50" s="2" t="str">
        <f t="shared" si="13"/>
        <v>ALTER TABLE TEMP_PDL RENAME "Doppie valvole chiuse" TO FLG_DOPPIE_VALVOLE_CHIUSE;</v>
      </c>
      <c r="P50" s="2" t="str">
        <f t="shared" si="9"/>
        <v>ALTER TABLE PDL ADD COLUMN FLG_DOPPIE_VALVOLE_CHIUSE boolean     ;</v>
      </c>
      <c r="Q50" s="2" t="str">
        <f t="shared" si="10"/>
        <v>FLG_DOPPIE_VALVOLE_CHIUSE,</v>
      </c>
      <c r="R50" s="2" t="str">
        <f t="shared" si="11"/>
        <v>public static final String  FLG_DOPPIE_VALVOLE_CHIUSE = "FLG_DOPPIE_VALVOLE_CHIUSE";</v>
      </c>
      <c r="S50" s="2" t="str">
        <f t="shared" si="14"/>
        <v/>
      </c>
      <c r="T50" s="2" t="str">
        <f t="shared" si="15"/>
        <v/>
      </c>
      <c r="V50" s="2" t="str">
        <f t="shared" si="16"/>
        <v>$('#FLG_DOPPIE_VALVOLE_CHIUSE').val($('#FLG_DOPPIE_VALVOLE_CHIUSE').is(':checked'));</v>
      </c>
      <c r="W50" s="2" t="str">
        <f t="shared" si="17"/>
        <v>$('#FLG_DOPPIE_VALVOLE_CHIUSE').prop('checked','&lt;#if FLG_DOPPIE_VALVOLE_CHIUSE?exists &amp;&amp; FLG_DOPPIE_VALVOLE_CHIUSE!=''&gt;${FLG_DOPPIE_VALVOLE_CHIUSE}&lt;#else&gt;true&lt;/#if&gt;'==='true')</v>
      </c>
      <c r="X50" s="2" t="str">
        <f t="shared" si="18"/>
        <v>addNoStringField(FLG_DOPPIE_VALVOLE_CHIUSE, Boolean.class);</v>
      </c>
    </row>
    <row r="51" spans="1:24" s="2" customFormat="1" x14ac:dyDescent="0.25">
      <c r="A51" s="3" t="s">
        <v>53</v>
      </c>
      <c r="B51" t="str">
        <f t="shared" si="7"/>
        <v>,"Spurghi aperti"</v>
      </c>
      <c r="C51" s="3"/>
      <c r="D51" s="3" t="s">
        <v>396</v>
      </c>
      <c r="E51" s="2" t="s">
        <v>8</v>
      </c>
      <c r="K51" s="2" t="str">
        <f t="shared" si="8"/>
        <v xml:space="preserve">boolean,     </v>
      </c>
      <c r="L51" s="2" t="s">
        <v>398</v>
      </c>
      <c r="M51" s="2" t="str">
        <f t="shared" si="12"/>
        <v>FLG_SPURGHI_APERTI</v>
      </c>
      <c r="N51" s="6" t="s">
        <v>289</v>
      </c>
      <c r="O51" s="2" t="str">
        <f t="shared" si="13"/>
        <v>ALTER TABLE TEMP_PDL RENAME "Spurghi aperti" TO FLG_SPURGHI_APERTI;</v>
      </c>
      <c r="P51" s="2" t="str">
        <f t="shared" si="9"/>
        <v>ALTER TABLE PDL ADD COLUMN FLG_SPURGHI_APERTI boolean     ;</v>
      </c>
      <c r="Q51" s="2" t="str">
        <f t="shared" si="10"/>
        <v>FLG_SPURGHI_APERTI,</v>
      </c>
      <c r="R51" s="2" t="str">
        <f t="shared" si="11"/>
        <v>public static final String  FLG_SPURGHI_APERTI = "FLG_SPURGHI_APERTI";</v>
      </c>
      <c r="S51" s="2" t="str">
        <f t="shared" si="14"/>
        <v/>
      </c>
      <c r="T51" s="2" t="str">
        <f t="shared" si="15"/>
        <v/>
      </c>
      <c r="V51" s="2" t="str">
        <f t="shared" si="16"/>
        <v>$('#FLG_SPURGHI_APERTI').val($('#FLG_SPURGHI_APERTI').is(':checked'));</v>
      </c>
      <c r="W51" s="2" t="str">
        <f t="shared" si="17"/>
        <v>$('#FLG_SPURGHI_APERTI').prop('checked','&lt;#if FLG_SPURGHI_APERTI?exists &amp;&amp; FLG_SPURGHI_APERTI!=''&gt;${FLG_SPURGHI_APERTI}&lt;#else&gt;true&lt;/#if&gt;'==='true')</v>
      </c>
      <c r="X51" s="2" t="str">
        <f t="shared" si="18"/>
        <v>addNoStringField(FLG_SPURGHI_APERTI, Boolean.class);</v>
      </c>
    </row>
    <row r="52" spans="1:24" s="2" customFormat="1" x14ac:dyDescent="0.25">
      <c r="A52" s="3" t="s">
        <v>54</v>
      </c>
      <c r="B52" t="str">
        <f t="shared" si="7"/>
        <v>,"Spurghi chiusi"</v>
      </c>
      <c r="C52" s="3"/>
      <c r="D52" s="3" t="s">
        <v>396</v>
      </c>
      <c r="E52" s="2" t="s">
        <v>8</v>
      </c>
      <c r="K52" s="2" t="str">
        <f t="shared" si="8"/>
        <v xml:space="preserve">boolean,     </v>
      </c>
      <c r="L52" s="2" t="s">
        <v>398</v>
      </c>
      <c r="M52" s="2" t="str">
        <f t="shared" si="12"/>
        <v>FLG_SPURGHI_CHIUSI</v>
      </c>
      <c r="N52" s="6" t="s">
        <v>290</v>
      </c>
      <c r="O52" s="2" t="str">
        <f t="shared" si="13"/>
        <v>ALTER TABLE TEMP_PDL RENAME "Spurghi chiusi" TO FLG_SPURGHI_CHIUSI;</v>
      </c>
      <c r="P52" s="2" t="str">
        <f t="shared" si="9"/>
        <v>ALTER TABLE PDL ADD COLUMN FLG_SPURGHI_CHIUSI boolean     ;</v>
      </c>
      <c r="Q52" s="2" t="str">
        <f t="shared" si="10"/>
        <v>FLG_SPURGHI_CHIUSI,</v>
      </c>
      <c r="R52" s="2" t="str">
        <f t="shared" si="11"/>
        <v>public static final String  FLG_SPURGHI_CHIUSI = "FLG_SPURGHI_CHIUSI";</v>
      </c>
      <c r="S52" s="2" t="str">
        <f t="shared" si="14"/>
        <v/>
      </c>
      <c r="T52" s="2" t="str">
        <f t="shared" si="15"/>
        <v/>
      </c>
      <c r="V52" s="2" t="str">
        <f t="shared" si="16"/>
        <v>$('#FLG_SPURGHI_CHIUSI').val($('#FLG_SPURGHI_CHIUSI').is(':checked'));</v>
      </c>
      <c r="W52" s="2" t="str">
        <f t="shared" si="17"/>
        <v>$('#FLG_SPURGHI_CHIUSI').prop('checked','&lt;#if FLG_SPURGHI_CHIUSI?exists &amp;&amp; FLG_SPURGHI_CHIUSI!=''&gt;${FLG_SPURGHI_CHIUSI}&lt;#else&gt;true&lt;/#if&gt;'==='true')</v>
      </c>
      <c r="X52" s="2" t="str">
        <f t="shared" si="18"/>
        <v>addNoStringField(FLG_SPURGHI_CHIUSI, Boolean.class);</v>
      </c>
    </row>
    <row r="53" spans="1:24" s="2" customFormat="1" x14ac:dyDescent="0.25">
      <c r="A53" s="3" t="s">
        <v>55</v>
      </c>
      <c r="B53" t="str">
        <f t="shared" si="7"/>
        <v>,"Vent aperti"</v>
      </c>
      <c r="C53" s="3"/>
      <c r="D53" s="3" t="s">
        <v>396</v>
      </c>
      <c r="E53" s="2" t="s">
        <v>8</v>
      </c>
      <c r="K53" s="2" t="str">
        <f t="shared" si="8"/>
        <v xml:space="preserve">boolean,     </v>
      </c>
      <c r="L53" s="2" t="s">
        <v>398</v>
      </c>
      <c r="M53" s="2" t="str">
        <f t="shared" si="12"/>
        <v>FLG_VENT_APERTI</v>
      </c>
      <c r="N53" s="6" t="s">
        <v>291</v>
      </c>
      <c r="O53" s="2" t="str">
        <f t="shared" si="13"/>
        <v>ALTER TABLE TEMP_PDL RENAME "Vent aperti" TO FLG_VENT_APERTI;</v>
      </c>
      <c r="P53" s="2" t="str">
        <f t="shared" si="9"/>
        <v>ALTER TABLE PDL ADD COLUMN FLG_VENT_APERTI boolean     ;</v>
      </c>
      <c r="Q53" s="2" t="str">
        <f t="shared" si="10"/>
        <v>FLG_VENT_APERTI,</v>
      </c>
      <c r="R53" s="2" t="str">
        <f t="shared" si="11"/>
        <v>public static final String  FLG_VENT_APERTI = "FLG_VENT_APERTI";</v>
      </c>
      <c r="S53" s="2" t="str">
        <f t="shared" si="14"/>
        <v/>
      </c>
      <c r="T53" s="2" t="str">
        <f t="shared" si="15"/>
        <v/>
      </c>
      <c r="V53" s="2" t="str">
        <f t="shared" si="16"/>
        <v>$('#FLG_VENT_APERTI').val($('#FLG_VENT_APERTI').is(':checked'));</v>
      </c>
      <c r="W53" s="2" t="str">
        <f t="shared" si="17"/>
        <v>$('#FLG_VENT_APERTI').prop('checked','&lt;#if FLG_VENT_APERTI?exists &amp;&amp; FLG_VENT_APERTI!=''&gt;${FLG_VENT_APERTI}&lt;#else&gt;true&lt;/#if&gt;'==='true')</v>
      </c>
      <c r="X53" s="2" t="str">
        <f t="shared" si="18"/>
        <v>addNoStringField(FLG_VENT_APERTI, Boolean.class);</v>
      </c>
    </row>
    <row r="54" spans="1:24" s="2" customFormat="1" x14ac:dyDescent="0.25">
      <c r="A54" s="3" t="s">
        <v>56</v>
      </c>
      <c r="B54" t="str">
        <f t="shared" si="7"/>
        <v>,"Vent chiusi"</v>
      </c>
      <c r="C54" s="3"/>
      <c r="D54" s="3" t="s">
        <v>396</v>
      </c>
      <c r="E54" s="2" t="s">
        <v>8</v>
      </c>
      <c r="K54" s="2" t="str">
        <f t="shared" si="8"/>
        <v xml:space="preserve">boolean,     </v>
      </c>
      <c r="L54" s="2" t="s">
        <v>398</v>
      </c>
      <c r="M54" s="2" t="str">
        <f t="shared" si="12"/>
        <v>FLG_VENT_CHIUSI</v>
      </c>
      <c r="N54" s="6" t="s">
        <v>292</v>
      </c>
      <c r="O54" s="2" t="str">
        <f t="shared" si="13"/>
        <v>ALTER TABLE TEMP_PDL RENAME "Vent chiusi" TO FLG_VENT_CHIUSI;</v>
      </c>
      <c r="P54" s="2" t="str">
        <f t="shared" si="9"/>
        <v>ALTER TABLE PDL ADD COLUMN FLG_VENT_CHIUSI boolean     ;</v>
      </c>
      <c r="Q54" s="2" t="str">
        <f t="shared" si="10"/>
        <v>FLG_VENT_CHIUSI,</v>
      </c>
      <c r="R54" s="2" t="str">
        <f t="shared" si="11"/>
        <v>public static final String  FLG_VENT_CHIUSI = "FLG_VENT_CHIUSI";</v>
      </c>
      <c r="S54" s="2" t="str">
        <f t="shared" si="14"/>
        <v/>
      </c>
      <c r="T54" s="2" t="str">
        <f t="shared" si="15"/>
        <v/>
      </c>
      <c r="V54" s="2" t="str">
        <f t="shared" si="16"/>
        <v>$('#FLG_VENT_CHIUSI').val($('#FLG_VENT_CHIUSI').is(':checked'));</v>
      </c>
      <c r="W54" s="2" t="str">
        <f t="shared" si="17"/>
        <v>$('#FLG_VENT_CHIUSI').prop('checked','&lt;#if FLG_VENT_CHIUSI?exists &amp;&amp; FLG_VENT_CHIUSI!=''&gt;${FLG_VENT_CHIUSI}&lt;#else&gt;true&lt;/#if&gt;'==='true')</v>
      </c>
      <c r="X54" s="2" t="str">
        <f t="shared" si="18"/>
        <v>addNoStringField(FLG_VENT_CHIUSI, Boolean.class);</v>
      </c>
    </row>
    <row r="55" spans="1:24" s="2" customFormat="1" x14ac:dyDescent="0.25">
      <c r="A55" s="3" t="s">
        <v>57</v>
      </c>
      <c r="B55" t="str">
        <f t="shared" si="7"/>
        <v>,"Sconnettere linee"</v>
      </c>
      <c r="C55" s="3"/>
      <c r="D55" s="3" t="s">
        <v>396</v>
      </c>
      <c r="E55" s="2" t="s">
        <v>8</v>
      </c>
      <c r="K55" s="2" t="str">
        <f t="shared" si="8"/>
        <v xml:space="preserve">boolean,     </v>
      </c>
      <c r="L55" s="2" t="s">
        <v>398</v>
      </c>
      <c r="M55" s="2" t="str">
        <f t="shared" si="12"/>
        <v>FLG_SCONNETTERE_LINEE</v>
      </c>
      <c r="N55" s="6" t="s">
        <v>293</v>
      </c>
      <c r="O55" s="2" t="str">
        <f t="shared" si="13"/>
        <v>ALTER TABLE TEMP_PDL RENAME "Sconnettere linee" TO FLG_SCONNETTERE_LINEE;</v>
      </c>
      <c r="P55" s="2" t="str">
        <f t="shared" si="9"/>
        <v>ALTER TABLE PDL ADD COLUMN FLG_SCONNETTERE_LINEE boolean     ;</v>
      </c>
      <c r="Q55" s="2" t="str">
        <f t="shared" si="10"/>
        <v>FLG_SCONNETTERE_LINEE,</v>
      </c>
      <c r="R55" s="2" t="str">
        <f t="shared" si="11"/>
        <v>public static final String  FLG_SCONNETTERE_LINEE = "FLG_SCONNETTERE_LINEE";</v>
      </c>
      <c r="S55" s="2" t="str">
        <f t="shared" si="14"/>
        <v/>
      </c>
      <c r="T55" s="2" t="str">
        <f t="shared" si="15"/>
        <v/>
      </c>
      <c r="V55" s="2" t="str">
        <f t="shared" si="16"/>
        <v>$('#FLG_SCONNETTERE_LINEE').val($('#FLG_SCONNETTERE_LINEE').is(':checked'));</v>
      </c>
      <c r="W55" s="2" t="str">
        <f t="shared" si="17"/>
        <v>$('#FLG_SCONNETTERE_LINEE').prop('checked','&lt;#if FLG_SCONNETTERE_LINEE?exists &amp;&amp; FLG_SCONNETTERE_LINEE!=''&gt;${FLG_SCONNETTERE_LINEE}&lt;#else&gt;true&lt;/#if&gt;'==='true')</v>
      </c>
      <c r="X55" s="2" t="str">
        <f t="shared" si="18"/>
        <v>addNoStringField(FLG_SCONNETTERE_LINEE, Boolean.class);</v>
      </c>
    </row>
    <row r="56" spans="1:24" s="2" customFormat="1" x14ac:dyDescent="0.25">
      <c r="A56" s="3" t="s">
        <v>58</v>
      </c>
      <c r="B56" t="str">
        <f t="shared" si="7"/>
        <v>,"Sflangiare"</v>
      </c>
      <c r="C56" s="3"/>
      <c r="D56" s="3" t="s">
        <v>396</v>
      </c>
      <c r="E56" s="2" t="s">
        <v>8</v>
      </c>
      <c r="K56" s="2" t="str">
        <f t="shared" si="8"/>
        <v xml:space="preserve">boolean,     </v>
      </c>
      <c r="L56" s="2" t="s">
        <v>398</v>
      </c>
      <c r="M56" s="2" t="str">
        <f t="shared" si="12"/>
        <v>FLG_SFLANGIARE</v>
      </c>
      <c r="N56" s="6" t="s">
        <v>294</v>
      </c>
      <c r="O56" s="2" t="str">
        <f t="shared" si="13"/>
        <v>ALTER TABLE TEMP_PDL RENAME "Sflangiare" TO FLG_SFLANGIARE;</v>
      </c>
      <c r="P56" s="2" t="str">
        <f t="shared" si="9"/>
        <v>ALTER TABLE PDL ADD COLUMN FLG_SFLANGIARE boolean     ;</v>
      </c>
      <c r="Q56" s="2" t="str">
        <f t="shared" si="10"/>
        <v>FLG_SFLANGIARE,</v>
      </c>
      <c r="R56" s="2" t="str">
        <f t="shared" si="11"/>
        <v>public static final String  FLG_SFLANGIARE = "FLG_SFLANGIARE";</v>
      </c>
      <c r="S56" s="2" t="str">
        <f t="shared" si="14"/>
        <v/>
      </c>
      <c r="T56" s="2" t="str">
        <f t="shared" si="15"/>
        <v/>
      </c>
      <c r="V56" s="2" t="str">
        <f t="shared" si="16"/>
        <v>$('#FLG_SFLANGIARE').val($('#FLG_SFLANGIARE').is(':checked'));</v>
      </c>
      <c r="W56" s="2" t="str">
        <f t="shared" si="17"/>
        <v>$('#FLG_SFLANGIARE').prop('checked','&lt;#if FLG_SFLANGIARE?exists &amp;&amp; FLG_SFLANGIARE!=''&gt;${FLG_SFLANGIARE}&lt;#else&gt;true&lt;/#if&gt;'==='true')</v>
      </c>
      <c r="X56" s="2" t="str">
        <f t="shared" si="18"/>
        <v>addNoStringField(FLG_SFLANGIARE, Boolean.class);</v>
      </c>
    </row>
    <row r="57" spans="1:24" s="2" customFormat="1" x14ac:dyDescent="0.25">
      <c r="A57" s="3" t="s">
        <v>59</v>
      </c>
      <c r="B57" t="str">
        <f t="shared" si="7"/>
        <v>,"Controllare Pressione"</v>
      </c>
      <c r="C57" s="3"/>
      <c r="D57" s="3" t="s">
        <v>396</v>
      </c>
      <c r="E57" s="2" t="s">
        <v>8</v>
      </c>
      <c r="K57" s="2" t="str">
        <f t="shared" si="8"/>
        <v xml:space="preserve">boolean,     </v>
      </c>
      <c r="L57" s="2" t="s">
        <v>398</v>
      </c>
      <c r="M57" s="2" t="str">
        <f t="shared" si="12"/>
        <v>FLG_CONTROLLARE_PRESSIONE</v>
      </c>
      <c r="N57" s="6" t="s">
        <v>295</v>
      </c>
      <c r="O57" s="2" t="str">
        <f t="shared" si="13"/>
        <v>ALTER TABLE TEMP_PDL RENAME "Controllare Pressione" TO FLG_CONTROLLARE_PRESSIONE;</v>
      </c>
      <c r="P57" s="2" t="str">
        <f t="shared" si="9"/>
        <v>ALTER TABLE PDL ADD COLUMN FLG_CONTROLLARE_PRESSIONE boolean     ;</v>
      </c>
      <c r="Q57" s="2" t="str">
        <f t="shared" si="10"/>
        <v>FLG_CONTROLLARE_PRESSIONE,</v>
      </c>
      <c r="R57" s="2" t="str">
        <f t="shared" si="11"/>
        <v>public static final String  FLG_CONTROLLARE_PRESSIONE = "FLG_CONTROLLARE_PRESSIONE";</v>
      </c>
      <c r="S57" s="2" t="str">
        <f t="shared" si="14"/>
        <v/>
      </c>
      <c r="T57" s="2" t="str">
        <f t="shared" si="15"/>
        <v/>
      </c>
      <c r="V57" s="2" t="str">
        <f t="shared" si="16"/>
        <v>$('#FLG_CONTROLLARE_PRESSIONE').val($('#FLG_CONTROLLARE_PRESSIONE').is(':checked'));</v>
      </c>
      <c r="W57" s="2" t="str">
        <f t="shared" si="17"/>
        <v>$('#FLG_CONTROLLARE_PRESSIONE').prop('checked','&lt;#if FLG_CONTROLLARE_PRESSIONE?exists &amp;&amp; FLG_CONTROLLARE_PRESSIONE!=''&gt;${FLG_CONTROLLARE_PRESSIONE}&lt;#else&gt;true&lt;/#if&gt;'==='true')</v>
      </c>
      <c r="X57" s="2" t="str">
        <f t="shared" si="18"/>
        <v>addNoStringField(FLG_CONTROLLARE_PRESSIONE, Boolean.class);</v>
      </c>
    </row>
    <row r="58" spans="1:24" s="2" customFormat="1" x14ac:dyDescent="0.25">
      <c r="A58" s="3" t="s">
        <v>60</v>
      </c>
      <c r="B58" t="str">
        <f t="shared" si="7"/>
        <v>,"Controllare Temperatura"</v>
      </c>
      <c r="C58" s="3"/>
      <c r="D58" s="3" t="s">
        <v>396</v>
      </c>
      <c r="E58" s="2" t="s">
        <v>8</v>
      </c>
      <c r="K58" s="2" t="str">
        <f t="shared" si="8"/>
        <v xml:space="preserve">boolean,     </v>
      </c>
      <c r="L58" s="2" t="s">
        <v>398</v>
      </c>
      <c r="M58" s="2" t="str">
        <f t="shared" si="12"/>
        <v>FLG_CONTROLLARE_TEMPERATURA</v>
      </c>
      <c r="N58" s="6" t="s">
        <v>296</v>
      </c>
      <c r="O58" s="2" t="str">
        <f t="shared" si="13"/>
        <v>ALTER TABLE TEMP_PDL RENAME "Controllare Temperatura" TO FLG_CONTROLLARE_TEMPERATURA;</v>
      </c>
      <c r="P58" s="2" t="str">
        <f t="shared" si="9"/>
        <v>ALTER TABLE PDL ADD COLUMN FLG_CONTROLLARE_TEMPERATURA boolean     ;</v>
      </c>
      <c r="Q58" s="2" t="str">
        <f t="shared" si="10"/>
        <v>FLG_CONTROLLARE_TEMPERATURA,</v>
      </c>
      <c r="R58" s="2" t="str">
        <f t="shared" si="11"/>
        <v>public static final String  FLG_CONTROLLARE_TEMPERATURA = "FLG_CONTROLLARE_TEMPERATURA";</v>
      </c>
      <c r="S58" s="2" t="str">
        <f t="shared" si="14"/>
        <v/>
      </c>
      <c r="T58" s="2" t="str">
        <f t="shared" si="15"/>
        <v/>
      </c>
      <c r="V58" s="2" t="str">
        <f t="shared" si="16"/>
        <v>$('#FLG_CONTROLLARE_TEMPERATURA').val($('#FLG_CONTROLLARE_TEMPERATURA').is(':checked'));</v>
      </c>
      <c r="W58" s="2" t="str">
        <f t="shared" si="17"/>
        <v>$('#FLG_CONTROLLARE_TEMPERATURA').prop('checked','&lt;#if FLG_CONTROLLARE_TEMPERATURA?exists &amp;&amp; FLG_CONTROLLARE_TEMPERATURA!=''&gt;${FLG_CONTROLLARE_TEMPERATURA}&lt;#else&gt;true&lt;/#if&gt;'==='true')</v>
      </c>
      <c r="X58" s="2" t="str">
        <f t="shared" si="18"/>
        <v>addNoStringField(FLG_CONTROLLARE_TEMPERATURA, Boolean.class);</v>
      </c>
    </row>
    <row r="59" spans="1:24" s="2" customFormat="1" x14ac:dyDescent="0.25">
      <c r="A59" s="3" t="s">
        <v>61</v>
      </c>
      <c r="B59" t="str">
        <f t="shared" si="7"/>
        <v>,"Areare"</v>
      </c>
      <c r="C59" s="3"/>
      <c r="D59" s="3" t="s">
        <v>396</v>
      </c>
      <c r="E59" s="2" t="s">
        <v>8</v>
      </c>
      <c r="K59" s="2" t="str">
        <f t="shared" si="8"/>
        <v xml:space="preserve">boolean,     </v>
      </c>
      <c r="L59" s="2" t="s">
        <v>398</v>
      </c>
      <c r="M59" s="2" t="str">
        <f t="shared" si="12"/>
        <v>FLG_AREARE</v>
      </c>
      <c r="N59" s="6" t="s">
        <v>297</v>
      </c>
      <c r="O59" s="2" t="str">
        <f t="shared" si="13"/>
        <v>ALTER TABLE TEMP_PDL RENAME "Areare" TO FLG_AREARE;</v>
      </c>
      <c r="P59" s="2" t="str">
        <f t="shared" si="9"/>
        <v>ALTER TABLE PDL ADD COLUMN FLG_AREARE boolean     ;</v>
      </c>
      <c r="Q59" s="2" t="str">
        <f t="shared" si="10"/>
        <v>FLG_AREARE,</v>
      </c>
      <c r="R59" s="2" t="str">
        <f t="shared" si="11"/>
        <v>public static final String  FLG_AREARE = "FLG_AREARE";</v>
      </c>
      <c r="S59" s="2" t="str">
        <f t="shared" si="14"/>
        <v/>
      </c>
      <c r="T59" s="2" t="str">
        <f t="shared" si="15"/>
        <v/>
      </c>
      <c r="V59" s="2" t="str">
        <f t="shared" si="16"/>
        <v>$('#FLG_AREARE').val($('#FLG_AREARE').is(':checked'));</v>
      </c>
      <c r="W59" s="2" t="str">
        <f t="shared" si="17"/>
        <v>$('#FLG_AREARE').prop('checked','&lt;#if FLG_AREARE?exists &amp;&amp; FLG_AREARE!=''&gt;${FLG_AREARE}&lt;#else&gt;true&lt;/#if&gt;'==='true')</v>
      </c>
      <c r="X59" s="2" t="str">
        <f t="shared" si="18"/>
        <v>addNoStringField(FLG_AREARE, Boolean.class);</v>
      </c>
    </row>
    <row r="60" spans="1:24" s="2" customFormat="1" x14ac:dyDescent="0.25">
      <c r="A60" s="3" t="s">
        <v>62</v>
      </c>
      <c r="B60" t="str">
        <f t="shared" si="7"/>
        <v>,"Doppia valvola chiusa e spurgo intermedio aperto"</v>
      </c>
      <c r="C60" s="3"/>
      <c r="D60" s="3" t="s">
        <v>396</v>
      </c>
      <c r="E60" s="2" t="s">
        <v>8</v>
      </c>
      <c r="K60" s="2" t="str">
        <f t="shared" si="8"/>
        <v xml:space="preserve">boolean,     </v>
      </c>
      <c r="L60" s="2" t="s">
        <v>398</v>
      </c>
      <c r="M60" s="2" t="str">
        <f t="shared" si="12"/>
        <v>FLG_DOPPIA_VALVOLA_CHIUSA_E_SPURGO_INTERMEDIO_APERTO</v>
      </c>
      <c r="N60" s="6" t="s">
        <v>298</v>
      </c>
      <c r="O60" s="2" t="str">
        <f t="shared" si="13"/>
        <v>ALTER TABLE TEMP_PDL RENAME "Doppia valvola chiusa e spurgo intermedio aperto" TO FLG_DOPPIA_VALVOLA_CHIUSA_E_SPURGO_INTERMEDIO_APERTO;</v>
      </c>
      <c r="P60" s="2" t="str">
        <f t="shared" si="9"/>
        <v>ALTER TABLE PDL ADD COLUMN FLG_DOPPIA_VALVOLA_CHIUSA_E_SPURGO_INTERMEDIO_APERTO boolean     ;</v>
      </c>
      <c r="Q60" s="2" t="str">
        <f t="shared" si="10"/>
        <v>FLG_DOPPIA_VALVOLA_CHIUSA_E_SPURGO_INTERMEDIO_APERTO,</v>
      </c>
      <c r="R60" s="2" t="str">
        <f t="shared" si="11"/>
        <v>public static final String  FLG_DOPPIA_VALVOLA_CHIUSA_E_SPURGO_INTERMEDIO_APERTO = "FLG_DOPPIA_VALVOLA_CHIUSA_E_SPURGO_INTERMEDIO_APERTO";</v>
      </c>
      <c r="S60" s="2" t="str">
        <f t="shared" si="14"/>
        <v/>
      </c>
      <c r="T60" s="2" t="str">
        <f t="shared" si="15"/>
        <v/>
      </c>
      <c r="V60" s="2" t="str">
        <f t="shared" si="16"/>
        <v>$('#FLG_DOPPIA_VALVOLA_CHIUSA_E_SPURGO_INTERMEDIO_APERTO').val($('#FLG_DOPPIA_VALVOLA_CHIUSA_E_SPURGO_INTERMEDIO_APERTO').is(':checked'));</v>
      </c>
      <c r="W60" s="2" t="str">
        <f t="shared" si="17"/>
        <v>$('#FLG_DOPPIA_VALVOLA_CHIUSA_E_SPURGO_INTERMEDIO_APERTO').prop('checked','&lt;#if FLG_DOPPIA_VALVOLA_CHIUSA_E_SPURGO_INTERMEDIO_APERTO?exists &amp;&amp; FLG_DOPPIA_VALVOLA_CHIUSA_E_SPURGO_INTERMEDIO_APERTO!=''&gt;${FLG_DOPPIA_VALVOLA_CHIUSA_E_SPURGO_INTERMEDIO_APERTO}&lt;#else&gt;true&lt;/#if&gt;'==='true')</v>
      </c>
      <c r="X60" s="2" t="str">
        <f t="shared" si="18"/>
        <v>addNoStringField(FLG_DOPPIA_VALVOLA_CHIUSA_E_SPURGO_INTERMEDIO_APERTO, Boolean.class);</v>
      </c>
    </row>
    <row r="61" spans="1:24" s="2" customFormat="1" x14ac:dyDescent="0.25">
      <c r="A61" s="3" t="s">
        <v>63</v>
      </c>
      <c r="B61" t="str">
        <f t="shared" si="7"/>
        <v>,"Lavare con prodotti compatibili alimentare /farmaceutico"</v>
      </c>
      <c r="C61" s="3"/>
      <c r="D61" s="3" t="s">
        <v>396</v>
      </c>
      <c r="E61" s="2" t="s">
        <v>8</v>
      </c>
      <c r="K61" s="2" t="str">
        <f t="shared" si="8"/>
        <v xml:space="preserve">boolean,     </v>
      </c>
      <c r="L61" s="2" t="s">
        <v>398</v>
      </c>
      <c r="M61" s="2" t="str">
        <f t="shared" si="12"/>
        <v>FLG_LAVARE_CON_PRODOTTI_COMPATIBILI_ALIMENTARE_FARMACEUTICO</v>
      </c>
      <c r="N61" s="6" t="s">
        <v>299</v>
      </c>
      <c r="O61" s="2" t="str">
        <f t="shared" si="13"/>
        <v>ALTER TABLE TEMP_PDL RENAME "Lavare con prodotti compatibili alimentare /farmaceutico" TO FLG_LAVARE_CON_PRODOTTI_COMPATIBILI_ALIMENTARE_FARMACEUTICO;</v>
      </c>
      <c r="P61" s="2" t="str">
        <f t="shared" si="9"/>
        <v>ALTER TABLE PDL ADD COLUMN FLG_LAVARE_CON_PRODOTTI_COMPATIBILI_ALIMENTARE_FARMACEUTICO boolean     ;</v>
      </c>
      <c r="Q61" s="2" t="str">
        <f t="shared" si="10"/>
        <v>FLG_LAVARE_CON_PRODOTTI_COMPATIBILI_ALIMENTARE_FARMACEUTICO,</v>
      </c>
      <c r="R61" s="2" t="str">
        <f t="shared" si="11"/>
        <v>public static final String  FLG_LAVARE_CON_PRODOTTI_COMPATIBILI_ALIMENTARE_FARMACEUTICO = "FLG_LAVARE_CON_PRODOTTI_COMPATIBILI_ALIMENTARE_FARMACEUTICO";</v>
      </c>
      <c r="S61" s="2" t="str">
        <f t="shared" si="14"/>
        <v/>
      </c>
      <c r="T61" s="2" t="str">
        <f t="shared" si="15"/>
        <v/>
      </c>
      <c r="V61" s="2" t="str">
        <f t="shared" si="16"/>
        <v>$('#FLG_LAVARE_CON_PRODOTTI_COMPATIBILI_ALIMENTARE_FARMACEUTICO').val($('#FLG_LAVARE_CON_PRODOTTI_COMPATIBILI_ALIMENTARE_FARMACEUTICO').is(':checked'));</v>
      </c>
      <c r="W61" s="2" t="str">
        <f t="shared" si="17"/>
        <v>$('#FLG_LAVARE_CON_PRODOTTI_COMPATIBILI_ALIMENTARE_FARMACEUTICO').prop('checked','&lt;#if FLG_LAVARE_CON_PRODOTTI_COMPATIBILI_ALIMENTARE_FARMACEUTICO?exists &amp;&amp; FLG_LAVARE_CON_PRODOTTI_COMPATIBILI_ALIMENTARE_FARMACEUTICO!=''&gt;${FLG_LAVARE_CON_PRODOTTI_COMPATIBILI_ALIMENTARE_FARMACEUTICO}&lt;#else&gt;true&lt;/#if&gt;'==='true')</v>
      </c>
      <c r="X61" s="2" t="str">
        <f t="shared" si="18"/>
        <v>addNoStringField(FLG_LAVARE_CON_PRODOTTI_COMPATIBILI_ALIMENTARE_FARMACEUTICO, Boolean.class);</v>
      </c>
    </row>
    <row r="62" spans="1:24" s="2" customFormat="1" x14ac:dyDescent="0.25">
      <c r="A62" s="3" t="s">
        <v>64</v>
      </c>
      <c r="B62" t="str">
        <f t="shared" si="7"/>
        <v>,"Predisporre cartelli divieto manovra"</v>
      </c>
      <c r="C62" s="3"/>
      <c r="D62" s="3" t="s">
        <v>396</v>
      </c>
      <c r="E62" s="2" t="s">
        <v>8</v>
      </c>
      <c r="K62" s="2" t="str">
        <f t="shared" si="8"/>
        <v xml:space="preserve">boolean,     </v>
      </c>
      <c r="L62" s="2" t="s">
        <v>398</v>
      </c>
      <c r="M62" s="2" t="str">
        <f t="shared" si="12"/>
        <v>FLG_PREDISPORRE_CARTELLI_DIVIETO_MANOVRA</v>
      </c>
      <c r="N62" s="6" t="s">
        <v>300</v>
      </c>
      <c r="O62" s="2" t="str">
        <f t="shared" si="13"/>
        <v>ALTER TABLE TEMP_PDL RENAME "Predisporre cartelli divieto manovra" TO FLG_PREDISPORRE_CARTELLI_DIVIETO_MANOVRA;</v>
      </c>
      <c r="P62" s="2" t="str">
        <f t="shared" si="9"/>
        <v>ALTER TABLE PDL ADD COLUMN FLG_PREDISPORRE_CARTELLI_DIVIETO_MANOVRA boolean     ;</v>
      </c>
      <c r="Q62" s="2" t="str">
        <f t="shared" si="10"/>
        <v>FLG_PREDISPORRE_CARTELLI_DIVIETO_MANOVRA,</v>
      </c>
      <c r="R62" s="2" t="str">
        <f t="shared" si="11"/>
        <v>public static final String  FLG_PREDISPORRE_CARTELLI_DIVIETO_MANOVRA = "FLG_PREDISPORRE_CARTELLI_DIVIETO_MANOVRA";</v>
      </c>
      <c r="S62" s="2" t="str">
        <f t="shared" si="14"/>
        <v/>
      </c>
      <c r="T62" s="2" t="str">
        <f t="shared" si="15"/>
        <v/>
      </c>
      <c r="V62" s="2" t="str">
        <f t="shared" si="16"/>
        <v>$('#FLG_PREDISPORRE_CARTELLI_DIVIETO_MANOVRA').val($('#FLG_PREDISPORRE_CARTELLI_DIVIETO_MANOVRA').is(':checked'));</v>
      </c>
      <c r="W62" s="2" t="str">
        <f t="shared" si="17"/>
        <v>$('#FLG_PREDISPORRE_CARTELLI_DIVIETO_MANOVRA').prop('checked','&lt;#if FLG_PREDISPORRE_CARTELLI_DIVIETO_MANOVRA?exists &amp;&amp; FLG_PREDISPORRE_CARTELLI_DIVIETO_MANOVRA!=''&gt;${FLG_PREDISPORRE_CARTELLI_DIVIETO_MANOVRA}&lt;#else&gt;true&lt;/#if&gt;'==='true')</v>
      </c>
      <c r="X62" s="2" t="str">
        <f t="shared" si="18"/>
        <v>addNoStringField(FLG_PREDISPORRE_CARTELLI_DIVIETO_MANOVRA, Boolean.class);</v>
      </c>
    </row>
    <row r="63" spans="1:24" s="2" customFormat="1" x14ac:dyDescent="0.25">
      <c r="A63" s="3" t="s">
        <v>65</v>
      </c>
      <c r="B63" t="str">
        <f t="shared" si="7"/>
        <v>,"Predisporre illuminazione"</v>
      </c>
      <c r="C63" s="3"/>
      <c r="D63" s="3" t="s">
        <v>396</v>
      </c>
      <c r="E63" s="2" t="s">
        <v>8</v>
      </c>
      <c r="K63" s="2" t="str">
        <f t="shared" si="8"/>
        <v xml:space="preserve">boolean,     </v>
      </c>
      <c r="L63" s="2" t="s">
        <v>398</v>
      </c>
      <c r="M63" s="2" t="str">
        <f t="shared" si="12"/>
        <v>FLG_PREDISPORRE_ILLUMINAZIONE</v>
      </c>
      <c r="N63" s="6" t="s">
        <v>301</v>
      </c>
      <c r="O63" s="2" t="str">
        <f t="shared" si="13"/>
        <v>ALTER TABLE TEMP_PDL RENAME "Predisporre illuminazione" TO FLG_PREDISPORRE_ILLUMINAZIONE;</v>
      </c>
      <c r="P63" s="2" t="str">
        <f t="shared" si="9"/>
        <v>ALTER TABLE PDL ADD COLUMN FLG_PREDISPORRE_ILLUMINAZIONE boolean     ;</v>
      </c>
      <c r="Q63" s="2" t="str">
        <f t="shared" si="10"/>
        <v>FLG_PREDISPORRE_ILLUMINAZIONE,</v>
      </c>
      <c r="R63" s="2" t="str">
        <f t="shared" si="11"/>
        <v>public static final String  FLG_PREDISPORRE_ILLUMINAZIONE = "FLG_PREDISPORRE_ILLUMINAZIONE";</v>
      </c>
      <c r="S63" s="2" t="str">
        <f t="shared" si="14"/>
        <v/>
      </c>
      <c r="T63" s="2" t="str">
        <f t="shared" si="15"/>
        <v/>
      </c>
      <c r="V63" s="2" t="str">
        <f t="shared" si="16"/>
        <v>$('#FLG_PREDISPORRE_ILLUMINAZIONE').val($('#FLG_PREDISPORRE_ILLUMINAZIONE').is(':checked'));</v>
      </c>
      <c r="W63" s="2" t="str">
        <f t="shared" si="17"/>
        <v>$('#FLG_PREDISPORRE_ILLUMINAZIONE').prop('checked','&lt;#if FLG_PREDISPORRE_ILLUMINAZIONE?exists &amp;&amp; FLG_PREDISPORRE_ILLUMINAZIONE!=''&gt;${FLG_PREDISPORRE_ILLUMINAZIONE}&lt;#else&gt;true&lt;/#if&gt;'==='true')</v>
      </c>
      <c r="X63" s="2" t="str">
        <f t="shared" si="18"/>
        <v>addNoStringField(FLG_PREDISPORRE_ILLUMINAZIONE, Boolean.class);</v>
      </c>
    </row>
    <row r="64" spans="1:24" s="2" customFormat="1" x14ac:dyDescent="0.25">
      <c r="A64" s="3" t="s">
        <v>66</v>
      </c>
      <c r="B64" t="str">
        <f t="shared" si="7"/>
        <v>,"Predisporre attrezzature antincendio"</v>
      </c>
      <c r="C64" s="3"/>
      <c r="D64" s="3" t="s">
        <v>396</v>
      </c>
      <c r="E64" s="2" t="s">
        <v>8</v>
      </c>
      <c r="K64" s="2" t="str">
        <f t="shared" si="8"/>
        <v xml:space="preserve">boolean,     </v>
      </c>
      <c r="L64" s="2" t="s">
        <v>398</v>
      </c>
      <c r="M64" s="2" t="str">
        <f t="shared" si="12"/>
        <v>FLG_PREDISPORRE_ATTREZZATURE_ANTINCENDIO</v>
      </c>
      <c r="N64" s="6" t="s">
        <v>302</v>
      </c>
      <c r="O64" s="2" t="str">
        <f t="shared" si="13"/>
        <v>ALTER TABLE TEMP_PDL RENAME "Predisporre attrezzature antincendio" TO FLG_PREDISPORRE_ATTREZZATURE_ANTINCENDIO;</v>
      </c>
      <c r="P64" s="2" t="str">
        <f t="shared" si="9"/>
        <v>ALTER TABLE PDL ADD COLUMN FLG_PREDISPORRE_ATTREZZATURE_ANTINCENDIO boolean     ;</v>
      </c>
      <c r="Q64" s="2" t="str">
        <f t="shared" si="10"/>
        <v>FLG_PREDISPORRE_ATTREZZATURE_ANTINCENDIO,</v>
      </c>
      <c r="R64" s="2" t="str">
        <f t="shared" si="11"/>
        <v>public static final String  FLG_PREDISPORRE_ATTREZZATURE_ANTINCENDIO = "FLG_PREDISPORRE_ATTREZZATURE_ANTINCENDIO";</v>
      </c>
      <c r="S64" s="2" t="str">
        <f t="shared" si="14"/>
        <v/>
      </c>
      <c r="T64" s="2" t="str">
        <f t="shared" si="15"/>
        <v/>
      </c>
      <c r="V64" s="2" t="str">
        <f t="shared" si="16"/>
        <v>$('#FLG_PREDISPORRE_ATTREZZATURE_ANTINCENDIO').val($('#FLG_PREDISPORRE_ATTREZZATURE_ANTINCENDIO').is(':checked'));</v>
      </c>
      <c r="W64" s="2" t="str">
        <f t="shared" si="17"/>
        <v>$('#FLG_PREDISPORRE_ATTREZZATURE_ANTINCENDIO').prop('checked','&lt;#if FLG_PREDISPORRE_ATTREZZATURE_ANTINCENDIO?exists &amp;&amp; FLG_PREDISPORRE_ATTREZZATURE_ANTINCENDIO!=''&gt;${FLG_PREDISPORRE_ATTREZZATURE_ANTINCENDIO}&lt;#else&gt;true&lt;/#if&gt;'==='true')</v>
      </c>
      <c r="X64" s="2" t="str">
        <f t="shared" si="18"/>
        <v>addNoStringField(FLG_PREDISPORRE_ATTREZZATURE_ANTINCENDIO, Boolean.class);</v>
      </c>
    </row>
    <row r="65" spans="1:24" s="2" customFormat="1" x14ac:dyDescent="0.25">
      <c r="A65" s="3" t="s">
        <v>67</v>
      </c>
      <c r="B65" t="str">
        <f t="shared" si="7"/>
        <v>,"Localizzare linee interrate"</v>
      </c>
      <c r="C65" s="3"/>
      <c r="D65" s="3" t="s">
        <v>396</v>
      </c>
      <c r="E65" s="2" t="s">
        <v>8</v>
      </c>
      <c r="K65" s="2" t="str">
        <f t="shared" si="8"/>
        <v xml:space="preserve">boolean,     </v>
      </c>
      <c r="L65" s="2" t="s">
        <v>398</v>
      </c>
      <c r="M65" s="2" t="str">
        <f t="shared" ref="M65:M96" si="19">CONCATENATE(IF(E65="boolean,","FLG_",""),IF(E65="boolean","FLG_",""),IF(C65&lt;&gt;"",C65,SUBSTITUTE(SUBSTITUTE(UPPER(SUBSTITUTE(SUBSTITUTE(SUBSTITUTE(SUBSTITUTE(SUBSTITUTE(SUBSTITUTE(SUBSTITUTE(A65,"'",""),"-","_"),"à","a"),"ù","u"),"/","_"),"°","")," ","_")),"__","_"),"__","_")))</f>
        <v>FLG_LOCALIZZARE_LINEE_INTERRATE</v>
      </c>
      <c r="N65" s="6" t="s">
        <v>303</v>
      </c>
      <c r="O65" s="2" t="str">
        <f t="shared" ref="O65:O96" si="20">CONCATENATE("ALTER TABLE TEMP_PDL RENAME """,A65,""" TO ",N65,";")</f>
        <v>ALTER TABLE TEMP_PDL RENAME "Localizzare linee interrate" TO FLG_LOCALIZZARE_LINEE_INTERRATE;</v>
      </c>
      <c r="P65" s="2" t="str">
        <f t="shared" si="9"/>
        <v>ALTER TABLE PDL ADD COLUMN FLG_LOCALIZZARE_LINEE_INTERRATE boolean     ;</v>
      </c>
      <c r="Q65" s="2" t="str">
        <f t="shared" si="10"/>
        <v>FLG_LOCALIZZARE_LINEE_INTERRATE,</v>
      </c>
      <c r="R65" s="2" t="str">
        <f t="shared" si="11"/>
        <v>public static final String  FLG_LOCALIZZARE_LINEE_INTERRATE = "FLG_LOCALIZZARE_LINEE_INTERRATE";</v>
      </c>
      <c r="S65" s="2" t="str">
        <f t="shared" ref="S65:S96" si="21">IF(E65="timestamp",CONCATENATE("addNoStringField(",N65,", Timestamp.class);"),"")</f>
        <v/>
      </c>
      <c r="T65" s="2" t="str">
        <f t="shared" ref="T65:T96" si="22">IF(MID(N65,1,3)="FLG","",CONCATENATE("$('#",N65,"').val('&lt;#if ",N65,"?exists&gt;${",N65,"}&lt;/#if&gt;')"))</f>
        <v/>
      </c>
      <c r="V65" s="2" t="str">
        <f t="shared" ref="V65:V96" si="23">IF(MID(M65,1,3)="FLG",CONCATENATE("$('#",N65,"').val($('#",N65,"').is(':checked'));"),"")</f>
        <v>$('#FLG_LOCALIZZARE_LINEE_INTERRATE').val($('#FLG_LOCALIZZARE_LINEE_INTERRATE').is(':checked'));</v>
      </c>
      <c r="W65" s="2" t="str">
        <f t="shared" ref="W65:W96" si="24">IF(MID(N65,1,3)="FLG",CONCATENATE("$('#",N65,"').prop('checked','&lt;#if ",N65,"?exists &amp;&amp; ",N65,"!=''&gt;${",N65,"}&lt;#else&gt;true&lt;/#if&gt;'==='true')"),"")</f>
        <v>$('#FLG_LOCALIZZARE_LINEE_INTERRATE').prop('checked','&lt;#if FLG_LOCALIZZARE_LINEE_INTERRATE?exists &amp;&amp; FLG_LOCALIZZARE_LINEE_INTERRATE!=''&gt;${FLG_LOCALIZZARE_LINEE_INTERRATE}&lt;#else&gt;true&lt;/#if&gt;'==='true')</v>
      </c>
      <c r="X65" s="2" t="str">
        <f t="shared" ref="X65:X96" si="25">IF(MID(Q65,1,3)="FLG",CONCATENATE("addNoStringField(",N65,", Boolean.class);"),"")</f>
        <v>addNoStringField(FLG_LOCALIZZARE_LINEE_INTERRATE, Boolean.class);</v>
      </c>
    </row>
    <row r="66" spans="1:24" s="2" customFormat="1" x14ac:dyDescent="0.25">
      <c r="A66" s="3" t="s">
        <v>68</v>
      </c>
      <c r="B66" t="str">
        <f t="shared" ref="B66:B129" si="26">CONCATENATE(",""",A66,"""")</f>
        <v>,"Applicare segnaletica"</v>
      </c>
      <c r="C66" s="3"/>
      <c r="D66" s="3" t="s">
        <v>396</v>
      </c>
      <c r="E66" s="2" t="s">
        <v>8</v>
      </c>
      <c r="K66" s="2" t="str">
        <f t="shared" ref="K66:K129" si="27">CONCATENATE(E66," ",F66," ",G66," ",H66," ",I66," ",J66)</f>
        <v xml:space="preserve">boolean,     </v>
      </c>
      <c r="L66" s="2" t="s">
        <v>398</v>
      </c>
      <c r="M66" s="2" t="str">
        <f t="shared" si="19"/>
        <v>FLG_APPLICARE_SEGNALETICA</v>
      </c>
      <c r="N66" s="6" t="s">
        <v>304</v>
      </c>
      <c r="O66" s="2" t="str">
        <f t="shared" si="20"/>
        <v>ALTER TABLE TEMP_PDL RENAME "Applicare segnaletica" TO FLG_APPLICARE_SEGNALETICA;</v>
      </c>
      <c r="P66" s="2" t="str">
        <f t="shared" ref="P66:P129" si="28">IF(D66="x",CONCATENATE("ALTER TABLE PDL ADD COLUMN ",N66," ",SUBSTITUTE(L66,",",""),";"),"")</f>
        <v>ALTER TABLE PDL ADD COLUMN FLG_APPLICARE_SEGNALETICA boolean     ;</v>
      </c>
      <c r="Q66" s="2" t="str">
        <f t="shared" ref="Q66:Q129" si="29">CONCATENATE(M66,",")</f>
        <v>FLG_APPLICARE_SEGNALETICA,</v>
      </c>
      <c r="R66" s="2" t="str">
        <f t="shared" ref="R66:R129" si="30">CONCATENATE("public static final String  ",N66," = """,N66,""";")</f>
        <v>public static final String  FLG_APPLICARE_SEGNALETICA = "FLG_APPLICARE_SEGNALETICA";</v>
      </c>
      <c r="S66" s="2" t="str">
        <f t="shared" si="21"/>
        <v/>
      </c>
      <c r="T66" s="2" t="str">
        <f t="shared" si="22"/>
        <v/>
      </c>
      <c r="V66" s="2" t="str">
        <f t="shared" si="23"/>
        <v>$('#FLG_APPLICARE_SEGNALETICA').val($('#FLG_APPLICARE_SEGNALETICA').is(':checked'));</v>
      </c>
      <c r="W66" s="2" t="str">
        <f t="shared" si="24"/>
        <v>$('#FLG_APPLICARE_SEGNALETICA').prop('checked','&lt;#if FLG_APPLICARE_SEGNALETICA?exists &amp;&amp; FLG_APPLICARE_SEGNALETICA!=''&gt;${FLG_APPLICARE_SEGNALETICA}&lt;#else&gt;true&lt;/#if&gt;'==='true')</v>
      </c>
      <c r="X66" s="2" t="str">
        <f t="shared" si="25"/>
        <v>addNoStringField(FLG_APPLICARE_SEGNALETICA, Boolean.class);</v>
      </c>
    </row>
    <row r="67" spans="1:24" s="2" customFormat="1" x14ac:dyDescent="0.25">
      <c r="A67" s="3" t="s">
        <v>69</v>
      </c>
      <c r="B67" t="str">
        <f t="shared" si="26"/>
        <v>,"Tripode"</v>
      </c>
      <c r="C67" s="3"/>
      <c r="D67" s="3" t="s">
        <v>396</v>
      </c>
      <c r="E67" s="2" t="s">
        <v>8</v>
      </c>
      <c r="K67" s="2" t="str">
        <f t="shared" si="27"/>
        <v xml:space="preserve">boolean,     </v>
      </c>
      <c r="L67" s="2" t="s">
        <v>398</v>
      </c>
      <c r="M67" s="2" t="str">
        <f t="shared" si="19"/>
        <v>FLG_TRIPODE</v>
      </c>
      <c r="N67" s="6" t="s">
        <v>305</v>
      </c>
      <c r="O67" s="2" t="str">
        <f t="shared" si="20"/>
        <v>ALTER TABLE TEMP_PDL RENAME "Tripode" TO FLG_TRIPODE;</v>
      </c>
      <c r="P67" s="2" t="str">
        <f t="shared" si="28"/>
        <v>ALTER TABLE PDL ADD COLUMN FLG_TRIPODE boolean     ;</v>
      </c>
      <c r="Q67" s="2" t="str">
        <f t="shared" si="29"/>
        <v>FLG_TRIPODE,</v>
      </c>
      <c r="R67" s="2" t="str">
        <f t="shared" si="30"/>
        <v>public static final String  FLG_TRIPODE = "FLG_TRIPODE";</v>
      </c>
      <c r="S67" s="2" t="str">
        <f t="shared" si="21"/>
        <v/>
      </c>
      <c r="T67" s="2" t="str">
        <f t="shared" si="22"/>
        <v/>
      </c>
      <c r="V67" s="2" t="str">
        <f t="shared" si="23"/>
        <v>$('#FLG_TRIPODE').val($('#FLG_TRIPODE').is(':checked'));</v>
      </c>
      <c r="W67" s="2" t="str">
        <f t="shared" si="24"/>
        <v>$('#FLG_TRIPODE').prop('checked','&lt;#if FLG_TRIPODE?exists &amp;&amp; FLG_TRIPODE!=''&gt;${FLG_TRIPODE}&lt;#else&gt;true&lt;/#if&gt;'==='true')</v>
      </c>
      <c r="X67" s="2" t="str">
        <f t="shared" si="25"/>
        <v>addNoStringField(FLG_TRIPODE, Boolean.class);</v>
      </c>
    </row>
    <row r="68" spans="1:24" s="2" customFormat="1" x14ac:dyDescent="0.25">
      <c r="A68" s="3" t="s">
        <v>70</v>
      </c>
      <c r="B68" t="str">
        <f t="shared" si="26"/>
        <v>,"Proteggere fogne"</v>
      </c>
      <c r="C68" s="3"/>
      <c r="D68" s="3" t="s">
        <v>396</v>
      </c>
      <c r="E68" s="2" t="s">
        <v>8</v>
      </c>
      <c r="K68" s="2" t="str">
        <f t="shared" si="27"/>
        <v xml:space="preserve">boolean,     </v>
      </c>
      <c r="L68" s="2" t="s">
        <v>398</v>
      </c>
      <c r="M68" s="2" t="str">
        <f t="shared" si="19"/>
        <v>FLG_PROTEGGERE_FOGNE</v>
      </c>
      <c r="N68" s="6" t="s">
        <v>306</v>
      </c>
      <c r="O68" s="2" t="str">
        <f t="shared" si="20"/>
        <v>ALTER TABLE TEMP_PDL RENAME "Proteggere fogne" TO FLG_PROTEGGERE_FOGNE;</v>
      </c>
      <c r="P68" s="2" t="str">
        <f t="shared" si="28"/>
        <v>ALTER TABLE PDL ADD COLUMN FLG_PROTEGGERE_FOGNE boolean     ;</v>
      </c>
      <c r="Q68" s="2" t="str">
        <f t="shared" si="29"/>
        <v>FLG_PROTEGGERE_FOGNE,</v>
      </c>
      <c r="R68" s="2" t="str">
        <f t="shared" si="30"/>
        <v>public static final String  FLG_PROTEGGERE_FOGNE = "FLG_PROTEGGERE_FOGNE";</v>
      </c>
      <c r="S68" s="2" t="str">
        <f t="shared" si="21"/>
        <v/>
      </c>
      <c r="T68" s="2" t="str">
        <f t="shared" si="22"/>
        <v/>
      </c>
      <c r="V68" s="2" t="str">
        <f t="shared" si="23"/>
        <v>$('#FLG_PROTEGGERE_FOGNE').val($('#FLG_PROTEGGERE_FOGNE').is(':checked'));</v>
      </c>
      <c r="W68" s="2" t="str">
        <f t="shared" si="24"/>
        <v>$('#FLG_PROTEGGERE_FOGNE').prop('checked','&lt;#if FLG_PROTEGGERE_FOGNE?exists &amp;&amp; FLG_PROTEGGERE_FOGNE!=''&gt;${FLG_PROTEGGERE_FOGNE}&lt;#else&gt;true&lt;/#if&gt;'==='true')</v>
      </c>
      <c r="X68" s="2" t="str">
        <f t="shared" si="25"/>
        <v>addNoStringField(FLG_PROTEGGERE_FOGNE, Boolean.class);</v>
      </c>
    </row>
    <row r="69" spans="1:24" s="2" customFormat="1" x14ac:dyDescent="0.25">
      <c r="A69" s="3" t="s">
        <v>71</v>
      </c>
      <c r="B69" t="str">
        <f t="shared" si="26"/>
        <v>,"Ponteggio - Piano di lavoro"</v>
      </c>
      <c r="C69" s="3"/>
      <c r="D69" s="3" t="s">
        <v>396</v>
      </c>
      <c r="E69" s="2" t="s">
        <v>8</v>
      </c>
      <c r="K69" s="2" t="str">
        <f t="shared" si="27"/>
        <v xml:space="preserve">boolean,     </v>
      </c>
      <c r="L69" s="2" t="s">
        <v>398</v>
      </c>
      <c r="M69" s="2" t="str">
        <f t="shared" si="19"/>
        <v>FLG_PONTEGGIO_PIANO_DI_LAVORO</v>
      </c>
      <c r="N69" s="6" t="s">
        <v>307</v>
      </c>
      <c r="O69" s="2" t="str">
        <f t="shared" si="20"/>
        <v>ALTER TABLE TEMP_PDL RENAME "Ponteggio - Piano di lavoro" TO FLG_PONTEGGIO_PIANO_DI_LAVORO;</v>
      </c>
      <c r="P69" s="2" t="str">
        <f t="shared" si="28"/>
        <v>ALTER TABLE PDL ADD COLUMN FLG_PONTEGGIO_PIANO_DI_LAVORO boolean     ;</v>
      </c>
      <c r="Q69" s="2" t="str">
        <f t="shared" si="29"/>
        <v>FLG_PONTEGGIO_PIANO_DI_LAVORO,</v>
      </c>
      <c r="R69" s="2" t="str">
        <f t="shared" si="30"/>
        <v>public static final String  FLG_PONTEGGIO_PIANO_DI_LAVORO = "FLG_PONTEGGIO_PIANO_DI_LAVORO";</v>
      </c>
      <c r="S69" s="2" t="str">
        <f t="shared" si="21"/>
        <v/>
      </c>
      <c r="T69" s="2" t="str">
        <f t="shared" si="22"/>
        <v/>
      </c>
      <c r="V69" s="2" t="str">
        <f t="shared" si="23"/>
        <v>$('#FLG_PONTEGGIO_PIANO_DI_LAVORO').val($('#FLG_PONTEGGIO_PIANO_DI_LAVORO').is(':checked'));</v>
      </c>
      <c r="W69" s="2" t="str">
        <f t="shared" si="24"/>
        <v>$('#FLG_PONTEGGIO_PIANO_DI_LAVORO').prop('checked','&lt;#if FLG_PONTEGGIO_PIANO_DI_LAVORO?exists &amp;&amp; FLG_PONTEGGIO_PIANO_DI_LAVORO!=''&gt;${FLG_PONTEGGIO_PIANO_DI_LAVORO}&lt;#else&gt;true&lt;/#if&gt;'==='true')</v>
      </c>
      <c r="X69" s="2" t="str">
        <f t="shared" si="25"/>
        <v>addNoStringField(FLG_PONTEGGIO_PIANO_DI_LAVORO, Boolean.class);</v>
      </c>
    </row>
    <row r="70" spans="1:24" s="2" customFormat="1" x14ac:dyDescent="0.25">
      <c r="A70" s="3" t="s">
        <v>72</v>
      </c>
      <c r="B70" t="str">
        <f t="shared" si="26"/>
        <v>,"Piattaforma"</v>
      </c>
      <c r="C70" s="3"/>
      <c r="D70" s="3" t="s">
        <v>396</v>
      </c>
      <c r="E70" s="2" t="s">
        <v>8</v>
      </c>
      <c r="K70" s="2" t="str">
        <f t="shared" si="27"/>
        <v xml:space="preserve">boolean,     </v>
      </c>
      <c r="L70" s="2" t="s">
        <v>398</v>
      </c>
      <c r="M70" s="2" t="str">
        <f t="shared" si="19"/>
        <v>FLG_PIATTAFORMA</v>
      </c>
      <c r="N70" s="6" t="s">
        <v>308</v>
      </c>
      <c r="O70" s="2" t="str">
        <f t="shared" si="20"/>
        <v>ALTER TABLE TEMP_PDL RENAME "Piattaforma" TO FLG_PIATTAFORMA;</v>
      </c>
      <c r="P70" s="2" t="str">
        <f t="shared" si="28"/>
        <v>ALTER TABLE PDL ADD COLUMN FLG_PIATTAFORMA boolean     ;</v>
      </c>
      <c r="Q70" s="2" t="str">
        <f t="shared" si="29"/>
        <v>FLG_PIATTAFORMA,</v>
      </c>
      <c r="R70" s="2" t="str">
        <f t="shared" si="30"/>
        <v>public static final String  FLG_PIATTAFORMA = "FLG_PIATTAFORMA";</v>
      </c>
      <c r="S70" s="2" t="str">
        <f t="shared" si="21"/>
        <v/>
      </c>
      <c r="T70" s="2" t="str">
        <f t="shared" si="22"/>
        <v/>
      </c>
      <c r="V70" s="2" t="str">
        <f t="shared" si="23"/>
        <v>$('#FLG_PIATTAFORMA').val($('#FLG_PIATTAFORMA').is(':checked'));</v>
      </c>
      <c r="W70" s="2" t="str">
        <f t="shared" si="24"/>
        <v>$('#FLG_PIATTAFORMA').prop('checked','&lt;#if FLG_PIATTAFORMA?exists &amp;&amp; FLG_PIATTAFORMA!=''&gt;${FLG_PIATTAFORMA}&lt;#else&gt;true&lt;/#if&gt;'==='true')</v>
      </c>
      <c r="X70" s="2" t="str">
        <f t="shared" si="25"/>
        <v>addNoStringField(FLG_PIATTAFORMA, Boolean.class);</v>
      </c>
    </row>
    <row r="71" spans="1:24" s="2" customFormat="1" x14ac:dyDescent="0.25">
      <c r="A71" s="3" t="s">
        <v>73</v>
      </c>
      <c r="B71" t="str">
        <f t="shared" si="26"/>
        <v>,"Delimitare zona lavoro"</v>
      </c>
      <c r="C71" s="3"/>
      <c r="D71" s="3" t="s">
        <v>396</v>
      </c>
      <c r="E71" s="2" t="s">
        <v>8</v>
      </c>
      <c r="K71" s="2" t="str">
        <f t="shared" si="27"/>
        <v xml:space="preserve">boolean,     </v>
      </c>
      <c r="L71" s="2" t="s">
        <v>398</v>
      </c>
      <c r="M71" s="2" t="str">
        <f t="shared" si="19"/>
        <v>FLG_DELIMITARE_ZONA_LAVORO</v>
      </c>
      <c r="N71" s="6" t="s">
        <v>309</v>
      </c>
      <c r="O71" s="2" t="str">
        <f t="shared" si="20"/>
        <v>ALTER TABLE TEMP_PDL RENAME "Delimitare zona lavoro" TO FLG_DELIMITARE_ZONA_LAVORO;</v>
      </c>
      <c r="P71" s="2" t="str">
        <f t="shared" si="28"/>
        <v>ALTER TABLE PDL ADD COLUMN FLG_DELIMITARE_ZONA_LAVORO boolean     ;</v>
      </c>
      <c r="Q71" s="2" t="str">
        <f t="shared" si="29"/>
        <v>FLG_DELIMITARE_ZONA_LAVORO,</v>
      </c>
      <c r="R71" s="2" t="str">
        <f t="shared" si="30"/>
        <v>public static final String  FLG_DELIMITARE_ZONA_LAVORO = "FLG_DELIMITARE_ZONA_LAVORO";</v>
      </c>
      <c r="S71" s="2" t="str">
        <f t="shared" si="21"/>
        <v/>
      </c>
      <c r="T71" s="2" t="str">
        <f t="shared" si="22"/>
        <v/>
      </c>
      <c r="V71" s="2" t="str">
        <f t="shared" si="23"/>
        <v>$('#FLG_DELIMITARE_ZONA_LAVORO').val($('#FLG_DELIMITARE_ZONA_LAVORO').is(':checked'));</v>
      </c>
      <c r="W71" s="2" t="str">
        <f t="shared" si="24"/>
        <v>$('#FLG_DELIMITARE_ZONA_LAVORO').prop('checked','&lt;#if FLG_DELIMITARE_ZONA_LAVORO?exists &amp;&amp; FLG_DELIMITARE_ZONA_LAVORO!=''&gt;${FLG_DELIMITARE_ZONA_LAVORO}&lt;#else&gt;true&lt;/#if&gt;'==='true')</v>
      </c>
      <c r="X71" s="2" t="str">
        <f t="shared" si="25"/>
        <v>addNoStringField(FLG_DELIMITARE_ZONA_LAVORO, Boolean.class);</v>
      </c>
    </row>
    <row r="72" spans="1:24" s="2" customFormat="1" x14ac:dyDescent="0.25">
      <c r="A72" s="3" t="s">
        <v>74</v>
      </c>
      <c r="B72" t="str">
        <f t="shared" si="26"/>
        <v>,"Squadra di soccorso in stand-by"</v>
      </c>
      <c r="C72" s="3"/>
      <c r="D72" s="3" t="s">
        <v>396</v>
      </c>
      <c r="E72" s="2" t="s">
        <v>8</v>
      </c>
      <c r="K72" s="2" t="str">
        <f t="shared" si="27"/>
        <v xml:space="preserve">boolean,     </v>
      </c>
      <c r="L72" s="2" t="s">
        <v>398</v>
      </c>
      <c r="M72" s="2" t="str">
        <f t="shared" si="19"/>
        <v>FLG_SQUADRA_DI_SOCCORSO_IN_STAND_BY</v>
      </c>
      <c r="N72" s="6" t="s">
        <v>310</v>
      </c>
      <c r="O72" s="2" t="str">
        <f t="shared" si="20"/>
        <v>ALTER TABLE TEMP_PDL RENAME "Squadra di soccorso in stand-by" TO FLG_SQUADRA_DI_SOCCORSO_IN_STAND_BY;</v>
      </c>
      <c r="P72" s="2" t="str">
        <f t="shared" si="28"/>
        <v>ALTER TABLE PDL ADD COLUMN FLG_SQUADRA_DI_SOCCORSO_IN_STAND_BY boolean     ;</v>
      </c>
      <c r="Q72" s="2" t="str">
        <f t="shared" si="29"/>
        <v>FLG_SQUADRA_DI_SOCCORSO_IN_STAND_BY,</v>
      </c>
      <c r="R72" s="2" t="str">
        <f t="shared" si="30"/>
        <v>public static final String  FLG_SQUADRA_DI_SOCCORSO_IN_STAND_BY = "FLG_SQUADRA_DI_SOCCORSO_IN_STAND_BY";</v>
      </c>
      <c r="S72" s="2" t="str">
        <f t="shared" si="21"/>
        <v/>
      </c>
      <c r="T72" s="2" t="str">
        <f t="shared" si="22"/>
        <v/>
      </c>
      <c r="V72" s="2" t="str">
        <f t="shared" si="23"/>
        <v>$('#FLG_SQUADRA_DI_SOCCORSO_IN_STAND_BY').val($('#FLG_SQUADRA_DI_SOCCORSO_IN_STAND_BY').is(':checked'));</v>
      </c>
      <c r="W72" s="2" t="str">
        <f t="shared" si="24"/>
        <v>$('#FLG_SQUADRA_DI_SOCCORSO_IN_STAND_BY').prop('checked','&lt;#if FLG_SQUADRA_DI_SOCCORSO_IN_STAND_BY?exists &amp;&amp; FLG_SQUADRA_DI_SOCCORSO_IN_STAND_BY!=''&gt;${FLG_SQUADRA_DI_SOCCORSO_IN_STAND_BY}&lt;#else&gt;true&lt;/#if&gt;'==='true')</v>
      </c>
      <c r="X72" s="2" t="str">
        <f t="shared" si="25"/>
        <v>addNoStringField(FLG_SQUADRA_DI_SOCCORSO_IN_STAND_BY, Boolean.class);</v>
      </c>
    </row>
    <row r="73" spans="1:24" s="2" customFormat="1" x14ac:dyDescent="0.25">
      <c r="A73" s="3" t="s">
        <v>75</v>
      </c>
      <c r="B73" t="str">
        <f t="shared" si="26"/>
        <v>,"Insufflare azoto"</v>
      </c>
      <c r="C73" s="3"/>
      <c r="D73" s="3" t="s">
        <v>396</v>
      </c>
      <c r="E73" s="2" t="s">
        <v>8</v>
      </c>
      <c r="K73" s="2" t="str">
        <f t="shared" si="27"/>
        <v xml:space="preserve">boolean,     </v>
      </c>
      <c r="L73" s="2" t="s">
        <v>398</v>
      </c>
      <c r="M73" s="2" t="str">
        <f t="shared" si="19"/>
        <v>FLG_INSUFFLARE_AZOTO</v>
      </c>
      <c r="N73" s="6" t="s">
        <v>311</v>
      </c>
      <c r="O73" s="2" t="str">
        <f t="shared" si="20"/>
        <v>ALTER TABLE TEMP_PDL RENAME "Insufflare azoto" TO FLG_INSUFFLARE_AZOTO;</v>
      </c>
      <c r="P73" s="2" t="str">
        <f t="shared" si="28"/>
        <v>ALTER TABLE PDL ADD COLUMN FLG_INSUFFLARE_AZOTO boolean     ;</v>
      </c>
      <c r="Q73" s="2" t="str">
        <f t="shared" si="29"/>
        <v>FLG_INSUFFLARE_AZOTO,</v>
      </c>
      <c r="R73" s="2" t="str">
        <f t="shared" si="30"/>
        <v>public static final String  FLG_INSUFFLARE_AZOTO = "FLG_INSUFFLARE_AZOTO";</v>
      </c>
      <c r="S73" s="2" t="str">
        <f t="shared" si="21"/>
        <v/>
      </c>
      <c r="T73" s="2" t="str">
        <f t="shared" si="22"/>
        <v/>
      </c>
      <c r="V73" s="2" t="str">
        <f t="shared" si="23"/>
        <v>$('#FLG_INSUFFLARE_AZOTO').val($('#FLG_INSUFFLARE_AZOTO').is(':checked'));</v>
      </c>
      <c r="W73" s="2" t="str">
        <f t="shared" si="24"/>
        <v>$('#FLG_INSUFFLARE_AZOTO').prop('checked','&lt;#if FLG_INSUFFLARE_AZOTO?exists &amp;&amp; FLG_INSUFFLARE_AZOTO!=''&gt;${FLG_INSUFFLARE_AZOTO}&lt;#else&gt;true&lt;/#if&gt;'==='true')</v>
      </c>
      <c r="X73" s="2" t="str">
        <f t="shared" si="25"/>
        <v>addNoStringField(FLG_INSUFFLARE_AZOTO, Boolean.class);</v>
      </c>
    </row>
    <row r="74" spans="1:24" s="2" customFormat="1" x14ac:dyDescent="0.25">
      <c r="A74" s="3" t="s">
        <v>76</v>
      </c>
      <c r="B74" t="str">
        <f t="shared" si="26"/>
        <v>,"Insufflare aria"</v>
      </c>
      <c r="C74" s="3"/>
      <c r="D74" s="3" t="s">
        <v>396</v>
      </c>
      <c r="E74" s="2" t="s">
        <v>8</v>
      </c>
      <c r="K74" s="2" t="str">
        <f t="shared" si="27"/>
        <v xml:space="preserve">boolean,     </v>
      </c>
      <c r="L74" s="2" t="s">
        <v>398</v>
      </c>
      <c r="M74" s="2" t="str">
        <f t="shared" si="19"/>
        <v>FLG_INSUFFLARE_ARIA</v>
      </c>
      <c r="N74" s="6" t="s">
        <v>312</v>
      </c>
      <c r="O74" s="2" t="str">
        <f t="shared" si="20"/>
        <v>ALTER TABLE TEMP_PDL RENAME "Insufflare aria" TO FLG_INSUFFLARE_ARIA;</v>
      </c>
      <c r="P74" s="2" t="str">
        <f t="shared" si="28"/>
        <v>ALTER TABLE PDL ADD COLUMN FLG_INSUFFLARE_ARIA boolean     ;</v>
      </c>
      <c r="Q74" s="2" t="str">
        <f t="shared" si="29"/>
        <v>FLG_INSUFFLARE_ARIA,</v>
      </c>
      <c r="R74" s="2" t="str">
        <f t="shared" si="30"/>
        <v>public static final String  FLG_INSUFFLARE_ARIA = "FLG_INSUFFLARE_ARIA";</v>
      </c>
      <c r="S74" s="2" t="str">
        <f t="shared" si="21"/>
        <v/>
      </c>
      <c r="T74" s="2" t="str">
        <f t="shared" si="22"/>
        <v/>
      </c>
      <c r="V74" s="2" t="str">
        <f t="shared" si="23"/>
        <v>$('#FLG_INSUFFLARE_ARIA').val($('#FLG_INSUFFLARE_ARIA').is(':checked'));</v>
      </c>
      <c r="W74" s="2" t="str">
        <f t="shared" si="24"/>
        <v>$('#FLG_INSUFFLARE_ARIA').prop('checked','&lt;#if FLG_INSUFFLARE_ARIA?exists &amp;&amp; FLG_INSUFFLARE_ARIA!=''&gt;${FLG_INSUFFLARE_ARIA}&lt;#else&gt;true&lt;/#if&gt;'==='true')</v>
      </c>
      <c r="X74" s="2" t="str">
        <f t="shared" si="25"/>
        <v>addNoStringField(FLG_INSUFFLARE_ARIA, Boolean.class);</v>
      </c>
    </row>
    <row r="75" spans="1:24" s="2" customFormat="1" x14ac:dyDescent="0.25">
      <c r="A75" s="3" t="s">
        <v>205</v>
      </c>
      <c r="B75" t="str">
        <f t="shared" si="26"/>
        <v>,"Eseguire dopo completamento e chiusura permessi n°"</v>
      </c>
      <c r="C75" s="3"/>
      <c r="D75" s="3" t="s">
        <v>396</v>
      </c>
      <c r="E75" s="2" t="s">
        <v>8</v>
      </c>
      <c r="K75" s="2" t="str">
        <f t="shared" si="27"/>
        <v xml:space="preserve">boolean,     </v>
      </c>
      <c r="L75" s="2" t="s">
        <v>398</v>
      </c>
      <c r="M75" s="2" t="str">
        <f t="shared" si="19"/>
        <v>FLG_ESEGUIRE_DOPO_COMPLETAMENTO_E_CHIUSURA_PERMESSI_N</v>
      </c>
      <c r="N75" s="6" t="s">
        <v>313</v>
      </c>
      <c r="O75" s="2" t="str">
        <f t="shared" si="20"/>
        <v>ALTER TABLE TEMP_PDL RENAME "Eseguire dopo completamento e chiusura permessi n°" TO FLG_ESEGUIRE_DOPO_COMPLETAMENTO_E_CHIUSURA_PERMESSI_N;</v>
      </c>
      <c r="P75" s="2" t="str">
        <f t="shared" si="28"/>
        <v>ALTER TABLE PDL ADD COLUMN FLG_ESEGUIRE_DOPO_COMPLETAMENTO_E_CHIUSURA_PERMESSI_N boolean     ;</v>
      </c>
      <c r="Q75" s="2" t="str">
        <f t="shared" si="29"/>
        <v>FLG_ESEGUIRE_DOPO_COMPLETAMENTO_E_CHIUSURA_PERMESSI_N,</v>
      </c>
      <c r="R75" s="2" t="str">
        <f t="shared" si="30"/>
        <v>public static final String  FLG_ESEGUIRE_DOPO_COMPLETAMENTO_E_CHIUSURA_PERMESSI_N = "FLG_ESEGUIRE_DOPO_COMPLETAMENTO_E_CHIUSURA_PERMESSI_N";</v>
      </c>
      <c r="S75" s="2" t="str">
        <f t="shared" si="21"/>
        <v/>
      </c>
      <c r="T75" s="2" t="str">
        <f t="shared" si="22"/>
        <v/>
      </c>
      <c r="V75" s="2" t="str">
        <f t="shared" si="23"/>
        <v>$('#FLG_ESEGUIRE_DOPO_COMPLETAMENTO_E_CHIUSURA_PERMESSI_N').val($('#FLG_ESEGUIRE_DOPO_COMPLETAMENTO_E_CHIUSURA_PERMESSI_N').is(':checked'));</v>
      </c>
      <c r="W75" s="2" t="str">
        <f t="shared" si="24"/>
        <v>$('#FLG_ESEGUIRE_DOPO_COMPLETAMENTO_E_CHIUSURA_PERMESSI_N').prop('checked','&lt;#if FLG_ESEGUIRE_DOPO_COMPLETAMENTO_E_CHIUSURA_PERMESSI_N?exists &amp;&amp; FLG_ESEGUIRE_DOPO_COMPLETAMENTO_E_CHIUSURA_PERMESSI_N!=''&gt;${FLG_ESEGUIRE_DOPO_COMPLETAMENTO_E_CHIUSURA_PERMESSI_N}&lt;#else&gt;true&lt;/#if&gt;'==='true')</v>
      </c>
      <c r="X75" s="2" t="str">
        <f t="shared" si="25"/>
        <v>addNoStringField(FLG_ESEGUIRE_DOPO_COMPLETAMENTO_E_CHIUSURA_PERMESSI_N, Boolean.class);</v>
      </c>
    </row>
    <row r="76" spans="1:24" s="2" customFormat="1" x14ac:dyDescent="0.25">
      <c r="A76" s="3" t="s">
        <v>77</v>
      </c>
      <c r="B76" t="str">
        <f t="shared" si="26"/>
        <v>,"PdL1_nr"</v>
      </c>
      <c r="C76" s="3"/>
      <c r="D76" s="3" t="s">
        <v>396</v>
      </c>
      <c r="E76" s="2" t="s">
        <v>0</v>
      </c>
      <c r="F76" s="2" t="s">
        <v>1</v>
      </c>
      <c r="K76" s="2" t="str">
        <f t="shared" si="27"/>
        <v xml:space="preserve">character varying(50),    </v>
      </c>
      <c r="L76" s="2" t="s">
        <v>397</v>
      </c>
      <c r="M76" s="2" t="str">
        <f t="shared" si="19"/>
        <v>PDL1_NR</v>
      </c>
      <c r="N76" s="2" t="s">
        <v>216</v>
      </c>
      <c r="O76" s="2" t="str">
        <f t="shared" si="20"/>
        <v>ALTER TABLE TEMP_PDL RENAME "PdL1_nr" TO PDL1_NR;</v>
      </c>
      <c r="P76" s="2" t="str">
        <f t="shared" si="28"/>
        <v>ALTER TABLE PDL ADD COLUMN PDL1_NR character varying(50)    ;</v>
      </c>
      <c r="Q76" s="2" t="str">
        <f t="shared" si="29"/>
        <v>PDL1_NR,</v>
      </c>
      <c r="R76" s="2" t="str">
        <f t="shared" si="30"/>
        <v>public static final String  PDL1_NR = "PDL1_NR";</v>
      </c>
      <c r="S76" s="2" t="str">
        <f t="shared" si="21"/>
        <v/>
      </c>
      <c r="T76" s="2" t="str">
        <f t="shared" si="22"/>
        <v>$('#PDL1_NR').val('&lt;#if PDL1_NR?exists&gt;${PDL1_NR}&lt;/#if&gt;')</v>
      </c>
      <c r="V76" s="2" t="str">
        <f t="shared" si="23"/>
        <v/>
      </c>
      <c r="W76" s="2" t="str">
        <f t="shared" si="24"/>
        <v/>
      </c>
      <c r="X76" s="2" t="str">
        <f t="shared" si="25"/>
        <v/>
      </c>
    </row>
    <row r="77" spans="1:24" s="2" customFormat="1" x14ac:dyDescent="0.25">
      <c r="A77" s="3" t="s">
        <v>78</v>
      </c>
      <c r="B77" t="str">
        <f t="shared" si="26"/>
        <v>,"Ciecatura"</v>
      </c>
      <c r="C77" s="3"/>
      <c r="D77" s="3" t="s">
        <v>396</v>
      </c>
      <c r="E77" s="2" t="s">
        <v>8</v>
      </c>
      <c r="K77" s="2" t="str">
        <f t="shared" si="27"/>
        <v xml:space="preserve">boolean,     </v>
      </c>
      <c r="L77" s="2" t="s">
        <v>398</v>
      </c>
      <c r="M77" s="2" t="str">
        <f t="shared" si="19"/>
        <v>FLG_CIECATURA</v>
      </c>
      <c r="N77" s="6" t="s">
        <v>314</v>
      </c>
      <c r="O77" s="2" t="str">
        <f t="shared" si="20"/>
        <v>ALTER TABLE TEMP_PDL RENAME "Ciecatura" TO FLG_CIECATURA;</v>
      </c>
      <c r="P77" s="2" t="str">
        <f t="shared" si="28"/>
        <v>ALTER TABLE PDL ADD COLUMN FLG_CIECATURA boolean     ;</v>
      </c>
      <c r="Q77" s="2" t="str">
        <f t="shared" si="29"/>
        <v>FLG_CIECATURA,</v>
      </c>
      <c r="R77" s="2" t="str">
        <f t="shared" si="30"/>
        <v>public static final String  FLG_CIECATURA = "FLG_CIECATURA";</v>
      </c>
      <c r="S77" s="2" t="str">
        <f t="shared" si="21"/>
        <v/>
      </c>
      <c r="T77" s="2" t="str">
        <f t="shared" si="22"/>
        <v/>
      </c>
      <c r="V77" s="2" t="str">
        <f t="shared" si="23"/>
        <v>$('#FLG_CIECATURA').val($('#FLG_CIECATURA').is(':checked'));</v>
      </c>
      <c r="W77" s="2" t="str">
        <f t="shared" si="24"/>
        <v>$('#FLG_CIECATURA').prop('checked','&lt;#if FLG_CIECATURA?exists &amp;&amp; FLG_CIECATURA!=''&gt;${FLG_CIECATURA}&lt;#else&gt;true&lt;/#if&gt;'==='true')</v>
      </c>
      <c r="X77" s="2" t="str">
        <f t="shared" si="25"/>
        <v>addNoStringField(FLG_CIECATURA, Boolean.class);</v>
      </c>
    </row>
    <row r="78" spans="1:24" s="2" customFormat="1" x14ac:dyDescent="0.25">
      <c r="A78" s="3" t="s">
        <v>79</v>
      </c>
      <c r="B78" t="str">
        <f t="shared" si="26"/>
        <v>,"Scheda_ciecatura_nr"</v>
      </c>
      <c r="C78" s="3"/>
      <c r="D78" s="3" t="s">
        <v>396</v>
      </c>
      <c r="E78" s="2" t="s">
        <v>0</v>
      </c>
      <c r="F78" s="2" t="s">
        <v>1</v>
      </c>
      <c r="K78" s="2" t="str">
        <f t="shared" si="27"/>
        <v xml:space="preserve">character varying(50),    </v>
      </c>
      <c r="L78" s="2" t="s">
        <v>397</v>
      </c>
      <c r="M78" s="2" t="str">
        <f t="shared" si="19"/>
        <v>SCHEDA_CIECATURA_NR</v>
      </c>
      <c r="N78" s="2" t="s">
        <v>217</v>
      </c>
      <c r="O78" s="2" t="str">
        <f t="shared" si="20"/>
        <v>ALTER TABLE TEMP_PDL RENAME "Scheda_ciecatura_nr" TO SCHEDA_CIECATURA_NR;</v>
      </c>
      <c r="P78" s="2" t="str">
        <f t="shared" si="28"/>
        <v>ALTER TABLE PDL ADD COLUMN SCHEDA_CIECATURA_NR character varying(50)    ;</v>
      </c>
      <c r="Q78" s="2" t="str">
        <f t="shared" si="29"/>
        <v>SCHEDA_CIECATURA_NR,</v>
      </c>
      <c r="R78" s="2" t="str">
        <f t="shared" si="30"/>
        <v>public static final String  SCHEDA_CIECATURA_NR = "SCHEDA_CIECATURA_NR";</v>
      </c>
      <c r="S78" s="2" t="str">
        <f t="shared" si="21"/>
        <v/>
      </c>
      <c r="T78" s="2" t="str">
        <f t="shared" si="22"/>
        <v>$('#SCHEDA_CIECATURA_NR').val('&lt;#if SCHEDA_CIECATURA_NR?exists&gt;${SCHEDA_CIECATURA_NR}&lt;/#if&gt;')</v>
      </c>
      <c r="V78" s="2" t="str">
        <f t="shared" si="23"/>
        <v/>
      </c>
      <c r="W78" s="2" t="str">
        <f t="shared" si="24"/>
        <v/>
      </c>
      <c r="X78" s="2" t="str">
        <f t="shared" si="25"/>
        <v/>
      </c>
    </row>
    <row r="79" spans="1:24" s="2" customFormat="1" x14ac:dyDescent="0.25">
      <c r="A79" s="3" t="s">
        <v>80</v>
      </c>
      <c r="B79" t="str">
        <f t="shared" si="26"/>
        <v>,"Rimozione temporanea EIS"</v>
      </c>
      <c r="C79" s="3"/>
      <c r="D79" s="3" t="s">
        <v>396</v>
      </c>
      <c r="E79" s="2" t="s">
        <v>8</v>
      </c>
      <c r="K79" s="2" t="str">
        <f t="shared" si="27"/>
        <v xml:space="preserve">boolean,     </v>
      </c>
      <c r="L79" s="2" t="s">
        <v>398</v>
      </c>
      <c r="M79" s="2" t="str">
        <f t="shared" si="19"/>
        <v>FLG_RIMOZIONE_TEMPORANEA_EIS</v>
      </c>
      <c r="N79" s="6" t="s">
        <v>315</v>
      </c>
      <c r="O79" s="2" t="str">
        <f t="shared" si="20"/>
        <v>ALTER TABLE TEMP_PDL RENAME "Rimozione temporanea EIS" TO FLG_RIMOZIONE_TEMPORANEA_EIS;</v>
      </c>
      <c r="P79" s="2" t="str">
        <f t="shared" si="28"/>
        <v>ALTER TABLE PDL ADD COLUMN FLG_RIMOZIONE_TEMPORANEA_EIS boolean     ;</v>
      </c>
      <c r="Q79" s="2" t="str">
        <f t="shared" si="29"/>
        <v>FLG_RIMOZIONE_TEMPORANEA_EIS,</v>
      </c>
      <c r="R79" s="2" t="str">
        <f t="shared" si="30"/>
        <v>public static final String  FLG_RIMOZIONE_TEMPORANEA_EIS = "FLG_RIMOZIONE_TEMPORANEA_EIS";</v>
      </c>
      <c r="S79" s="2" t="str">
        <f t="shared" si="21"/>
        <v/>
      </c>
      <c r="T79" s="2" t="str">
        <f t="shared" si="22"/>
        <v/>
      </c>
      <c r="V79" s="2" t="str">
        <f t="shared" si="23"/>
        <v>$('#FLG_RIMOZIONE_TEMPORANEA_EIS').val($('#FLG_RIMOZIONE_TEMPORANEA_EIS').is(':checked'));</v>
      </c>
      <c r="W79" s="2" t="str">
        <f t="shared" si="24"/>
        <v>$('#FLG_RIMOZIONE_TEMPORANEA_EIS').prop('checked','&lt;#if FLG_RIMOZIONE_TEMPORANEA_EIS?exists &amp;&amp; FLG_RIMOZIONE_TEMPORANEA_EIS!=''&gt;${FLG_RIMOZIONE_TEMPORANEA_EIS}&lt;#else&gt;true&lt;/#if&gt;'==='true')</v>
      </c>
      <c r="X79" s="2" t="str">
        <f t="shared" si="25"/>
        <v>addNoStringField(FLG_RIMOZIONE_TEMPORANEA_EIS, Boolean.class);</v>
      </c>
    </row>
    <row r="80" spans="1:24" s="2" customFormat="1" x14ac:dyDescent="0.25">
      <c r="A80" s="3" t="s">
        <v>81</v>
      </c>
      <c r="B80" t="str">
        <f t="shared" si="26"/>
        <v>,"Scheda_EIS_nr"</v>
      </c>
      <c r="C80" s="3"/>
      <c r="D80" s="3" t="s">
        <v>396</v>
      </c>
      <c r="E80" s="2" t="s">
        <v>0</v>
      </c>
      <c r="F80" s="2" t="s">
        <v>1</v>
      </c>
      <c r="K80" s="2" t="str">
        <f t="shared" si="27"/>
        <v xml:space="preserve">character varying(50),    </v>
      </c>
      <c r="L80" s="2" t="s">
        <v>397</v>
      </c>
      <c r="M80" s="2" t="str">
        <f t="shared" si="19"/>
        <v>SCHEDA_EIS_NR</v>
      </c>
      <c r="N80" s="2" t="s">
        <v>218</v>
      </c>
      <c r="O80" s="2" t="str">
        <f t="shared" si="20"/>
        <v>ALTER TABLE TEMP_PDL RENAME "Scheda_EIS_nr" TO SCHEDA_EIS_NR;</v>
      </c>
      <c r="P80" s="2" t="str">
        <f t="shared" si="28"/>
        <v>ALTER TABLE PDL ADD COLUMN SCHEDA_EIS_NR character varying(50)    ;</v>
      </c>
      <c r="Q80" s="2" t="str">
        <f t="shared" si="29"/>
        <v>SCHEDA_EIS_NR,</v>
      </c>
      <c r="R80" s="2" t="str">
        <f t="shared" si="30"/>
        <v>public static final String  SCHEDA_EIS_NR = "SCHEDA_EIS_NR";</v>
      </c>
      <c r="S80" s="2" t="str">
        <f t="shared" si="21"/>
        <v/>
      </c>
      <c r="T80" s="2" t="str">
        <f t="shared" si="22"/>
        <v>$('#SCHEDA_EIS_NR').val('&lt;#if SCHEDA_EIS_NR?exists&gt;${SCHEDA_EIS_NR}&lt;/#if&gt;')</v>
      </c>
      <c r="V80" s="2" t="str">
        <f t="shared" si="23"/>
        <v/>
      </c>
      <c r="W80" s="2" t="str">
        <f t="shared" si="24"/>
        <v/>
      </c>
      <c r="X80" s="2" t="str">
        <f t="shared" si="25"/>
        <v/>
      </c>
    </row>
    <row r="81" spans="1:24" s="2" customFormat="1" x14ac:dyDescent="0.25">
      <c r="A81" s="3" t="s">
        <v>82</v>
      </c>
      <c r="B81" t="str">
        <f t="shared" si="26"/>
        <v>,"Messa in sicurezza elettrica"</v>
      </c>
      <c r="C81" s="3"/>
      <c r="D81" s="3" t="s">
        <v>396</v>
      </c>
      <c r="E81" s="2" t="s">
        <v>8</v>
      </c>
      <c r="K81" s="2" t="str">
        <f t="shared" si="27"/>
        <v xml:space="preserve">boolean,     </v>
      </c>
      <c r="L81" s="2" t="s">
        <v>398</v>
      </c>
      <c r="M81" s="2" t="str">
        <f t="shared" si="19"/>
        <v>FLG_MESSA_IN_SICUREZZA_ELETTRICA</v>
      </c>
      <c r="N81" s="6" t="s">
        <v>316</v>
      </c>
      <c r="O81" s="2" t="str">
        <f t="shared" si="20"/>
        <v>ALTER TABLE TEMP_PDL RENAME "Messa in sicurezza elettrica" TO FLG_MESSA_IN_SICUREZZA_ELETTRICA;</v>
      </c>
      <c r="P81" s="2" t="str">
        <f t="shared" si="28"/>
        <v>ALTER TABLE PDL ADD COLUMN FLG_MESSA_IN_SICUREZZA_ELETTRICA boolean     ;</v>
      </c>
      <c r="Q81" s="2" t="str">
        <f t="shared" si="29"/>
        <v>FLG_MESSA_IN_SICUREZZA_ELETTRICA,</v>
      </c>
      <c r="R81" s="2" t="str">
        <f t="shared" si="30"/>
        <v>public static final String  FLG_MESSA_IN_SICUREZZA_ELETTRICA = "FLG_MESSA_IN_SICUREZZA_ELETTRICA";</v>
      </c>
      <c r="S81" s="2" t="str">
        <f t="shared" si="21"/>
        <v/>
      </c>
      <c r="T81" s="2" t="str">
        <f t="shared" si="22"/>
        <v/>
      </c>
      <c r="V81" s="2" t="str">
        <f t="shared" si="23"/>
        <v>$('#FLG_MESSA_IN_SICUREZZA_ELETTRICA').val($('#FLG_MESSA_IN_SICUREZZA_ELETTRICA').is(':checked'));</v>
      </c>
      <c r="W81" s="2" t="str">
        <f t="shared" si="24"/>
        <v>$('#FLG_MESSA_IN_SICUREZZA_ELETTRICA').prop('checked','&lt;#if FLG_MESSA_IN_SICUREZZA_ELETTRICA?exists &amp;&amp; FLG_MESSA_IN_SICUREZZA_ELETTRICA!=''&gt;${FLG_MESSA_IN_SICUREZZA_ELETTRICA}&lt;#else&gt;true&lt;/#if&gt;'==='true')</v>
      </c>
      <c r="X81" s="2" t="str">
        <f t="shared" si="25"/>
        <v>addNoStringField(FLG_MESSA_IN_SICUREZZA_ELETTRICA, Boolean.class);</v>
      </c>
    </row>
    <row r="82" spans="1:24" s="2" customFormat="1" x14ac:dyDescent="0.25">
      <c r="A82" s="3" t="s">
        <v>83</v>
      </c>
      <c r="B82" t="str">
        <f t="shared" si="26"/>
        <v>,"Messa_in_sicurezza_elettrica_testo"</v>
      </c>
      <c r="C82" s="3"/>
      <c r="D82" s="3" t="s">
        <v>396</v>
      </c>
      <c r="E82" s="2" t="s">
        <v>0</v>
      </c>
      <c r="F82" s="2" t="s">
        <v>1</v>
      </c>
      <c r="K82" s="2" t="str">
        <f t="shared" si="27"/>
        <v xml:space="preserve">character varying(50),    </v>
      </c>
      <c r="L82" s="2" t="s">
        <v>397</v>
      </c>
      <c r="M82" s="2" t="str">
        <f t="shared" si="19"/>
        <v>MESSA_IN_SICUREZZA_ELETTRICA_TESTO</v>
      </c>
      <c r="N82" s="2" t="s">
        <v>219</v>
      </c>
      <c r="O82" s="2" t="str">
        <f t="shared" si="20"/>
        <v>ALTER TABLE TEMP_PDL RENAME "Messa_in_sicurezza_elettrica_testo" TO MESSA_IN_SICUREZZA_ELETTRICA_TESTO;</v>
      </c>
      <c r="P82" s="2" t="str">
        <f t="shared" si="28"/>
        <v>ALTER TABLE PDL ADD COLUMN MESSA_IN_SICUREZZA_ELETTRICA_TESTO character varying(50)    ;</v>
      </c>
      <c r="Q82" s="2" t="str">
        <f t="shared" si="29"/>
        <v>MESSA_IN_SICUREZZA_ELETTRICA_TESTO,</v>
      </c>
      <c r="R82" s="2" t="str">
        <f t="shared" si="30"/>
        <v>public static final String  MESSA_IN_SICUREZZA_ELETTRICA_TESTO = "MESSA_IN_SICUREZZA_ELETTRICA_TESTO";</v>
      </c>
      <c r="S82" s="2" t="str">
        <f t="shared" si="21"/>
        <v/>
      </c>
      <c r="T82" s="2" t="str">
        <f t="shared" si="22"/>
        <v>$('#MESSA_IN_SICUREZZA_ELETTRICA_TESTO').val('&lt;#if MESSA_IN_SICUREZZA_ELETTRICA_TESTO?exists&gt;${MESSA_IN_SICUREZZA_ELETTRICA_TESTO}&lt;/#if&gt;')</v>
      </c>
      <c r="V82" s="2" t="str">
        <f t="shared" si="23"/>
        <v/>
      </c>
      <c r="W82" s="2" t="str">
        <f t="shared" si="24"/>
        <v/>
      </c>
      <c r="X82" s="2" t="str">
        <f t="shared" si="25"/>
        <v/>
      </c>
    </row>
    <row r="83" spans="1:24" s="2" customFormat="1" x14ac:dyDescent="0.25">
      <c r="A83" s="3" t="s">
        <v>203</v>
      </c>
      <c r="B83" t="str">
        <f t="shared" si="26"/>
        <v>,"Prova di abitabilità"</v>
      </c>
      <c r="C83" s="3"/>
      <c r="D83" s="3" t="s">
        <v>396</v>
      </c>
      <c r="E83" s="2" t="s">
        <v>8</v>
      </c>
      <c r="K83" s="2" t="str">
        <f t="shared" si="27"/>
        <v xml:space="preserve">boolean,     </v>
      </c>
      <c r="L83" s="2" t="s">
        <v>398</v>
      </c>
      <c r="M83" s="2" t="str">
        <f t="shared" si="19"/>
        <v>FLG_PROVA_DI_ABITABILITA</v>
      </c>
      <c r="N83" s="6" t="s">
        <v>317</v>
      </c>
      <c r="O83" s="2" t="str">
        <f t="shared" si="20"/>
        <v>ALTER TABLE TEMP_PDL RENAME "Prova di abitabilità" TO FLG_PROVA_DI_ABITABILITA;</v>
      </c>
      <c r="P83" s="2" t="str">
        <f t="shared" si="28"/>
        <v>ALTER TABLE PDL ADD COLUMN FLG_PROVA_DI_ABITABILITA boolean     ;</v>
      </c>
      <c r="Q83" s="2" t="str">
        <f t="shared" si="29"/>
        <v>FLG_PROVA_DI_ABITABILITA,</v>
      </c>
      <c r="R83" s="2" t="str">
        <f t="shared" si="30"/>
        <v>public static final String  FLG_PROVA_DI_ABITABILITA = "FLG_PROVA_DI_ABITABILITA";</v>
      </c>
      <c r="S83" s="2" t="str">
        <f t="shared" si="21"/>
        <v/>
      </c>
      <c r="T83" s="2" t="str">
        <f t="shared" si="22"/>
        <v/>
      </c>
      <c r="V83" s="2" t="str">
        <f t="shared" si="23"/>
        <v>$('#FLG_PROVA_DI_ABITABILITA').val($('#FLG_PROVA_DI_ABITABILITA').is(':checked'));</v>
      </c>
      <c r="W83" s="2" t="str">
        <f t="shared" si="24"/>
        <v>$('#FLG_PROVA_DI_ABITABILITA').prop('checked','&lt;#if FLG_PROVA_DI_ABITABILITA?exists &amp;&amp; FLG_PROVA_DI_ABITABILITA!=''&gt;${FLG_PROVA_DI_ABITABILITA}&lt;#else&gt;true&lt;/#if&gt;'==='true')</v>
      </c>
      <c r="X83" s="2" t="str">
        <f t="shared" si="25"/>
        <v>addNoStringField(FLG_PROVA_DI_ABITABILITA, Boolean.class);</v>
      </c>
    </row>
    <row r="84" spans="1:24" s="2" customFormat="1" x14ac:dyDescent="0.25">
      <c r="A84" s="3" t="s">
        <v>392</v>
      </c>
      <c r="B84" t="str">
        <f t="shared" si="26"/>
        <v>,"Prova_di_abitabilità_testo"</v>
      </c>
      <c r="C84" s="3"/>
      <c r="D84" s="3" t="s">
        <v>396</v>
      </c>
      <c r="E84" s="2" t="s">
        <v>0</v>
      </c>
      <c r="F84" s="2" t="s">
        <v>1</v>
      </c>
      <c r="K84" s="2" t="str">
        <f t="shared" si="27"/>
        <v xml:space="preserve">character varying(50),    </v>
      </c>
      <c r="L84" s="2" t="s">
        <v>397</v>
      </c>
      <c r="M84" s="2" t="str">
        <f t="shared" si="19"/>
        <v>PROVA_DI_ABITABILITA_TESTO</v>
      </c>
      <c r="N84" s="2" t="s">
        <v>394</v>
      </c>
      <c r="O84" s="2" t="str">
        <f t="shared" si="20"/>
        <v>ALTER TABLE TEMP_PDL RENAME "Prova_di_abitabilità_testo" TO PROVA_DI_ABITABILITA_TESTO;</v>
      </c>
      <c r="P84" s="2" t="str">
        <f t="shared" si="28"/>
        <v>ALTER TABLE PDL ADD COLUMN PROVA_DI_ABITABILITA_TESTO character varying(50)    ;</v>
      </c>
      <c r="Q84" s="2" t="str">
        <f t="shared" si="29"/>
        <v>PROVA_DI_ABITABILITA_TESTO,</v>
      </c>
      <c r="R84" s="2" t="str">
        <f t="shared" si="30"/>
        <v>public static final String  PROVA_DI_ABITABILITA_TESTO = "PROVA_DI_ABITABILITA_TESTO";</v>
      </c>
      <c r="S84" s="2" t="str">
        <f t="shared" si="21"/>
        <v/>
      </c>
      <c r="T84" s="2" t="str">
        <f t="shared" si="22"/>
        <v>$('#PROVA_DI_ABITABILITA_TESTO').val('&lt;#if PROVA_DI_ABITABILITA_TESTO?exists&gt;${PROVA_DI_ABITABILITA_TESTO}&lt;/#if&gt;')</v>
      </c>
      <c r="V84" s="2" t="str">
        <f t="shared" si="23"/>
        <v/>
      </c>
      <c r="W84" s="2" t="str">
        <f t="shared" si="24"/>
        <v/>
      </c>
      <c r="X84" s="2" t="str">
        <f t="shared" si="25"/>
        <v/>
      </c>
    </row>
    <row r="85" spans="1:24" s="2" customFormat="1" x14ac:dyDescent="0.25">
      <c r="A85" s="3" t="s">
        <v>204</v>
      </c>
      <c r="B85" t="str">
        <f t="shared" si="26"/>
        <v>,"Prova di esplosività"</v>
      </c>
      <c r="C85" s="3"/>
      <c r="D85" s="3" t="s">
        <v>396</v>
      </c>
      <c r="E85" s="2" t="s">
        <v>8</v>
      </c>
      <c r="K85" s="2" t="str">
        <f t="shared" si="27"/>
        <v xml:space="preserve">boolean,     </v>
      </c>
      <c r="L85" s="2" t="s">
        <v>398</v>
      </c>
      <c r="M85" s="2" t="str">
        <f t="shared" si="19"/>
        <v>FLG_PROVA_DI_ESPLOSIVITA</v>
      </c>
      <c r="N85" s="6" t="s">
        <v>318</v>
      </c>
      <c r="O85" s="2" t="str">
        <f t="shared" si="20"/>
        <v>ALTER TABLE TEMP_PDL RENAME "Prova di esplosività" TO FLG_PROVA_DI_ESPLOSIVITA;</v>
      </c>
      <c r="P85" s="2" t="str">
        <f t="shared" si="28"/>
        <v>ALTER TABLE PDL ADD COLUMN FLG_PROVA_DI_ESPLOSIVITA boolean     ;</v>
      </c>
      <c r="Q85" s="2" t="str">
        <f t="shared" si="29"/>
        <v>FLG_PROVA_DI_ESPLOSIVITA,</v>
      </c>
      <c r="R85" s="2" t="str">
        <f t="shared" si="30"/>
        <v>public static final String  FLG_PROVA_DI_ESPLOSIVITA = "FLG_PROVA_DI_ESPLOSIVITA";</v>
      </c>
      <c r="S85" s="2" t="str">
        <f t="shared" si="21"/>
        <v/>
      </c>
      <c r="T85" s="2" t="str">
        <f t="shared" si="22"/>
        <v/>
      </c>
      <c r="V85" s="2" t="str">
        <f t="shared" si="23"/>
        <v>$('#FLG_PROVA_DI_ESPLOSIVITA').val($('#FLG_PROVA_DI_ESPLOSIVITA').is(':checked'));</v>
      </c>
      <c r="W85" s="2" t="str">
        <f t="shared" si="24"/>
        <v>$('#FLG_PROVA_DI_ESPLOSIVITA').prop('checked','&lt;#if FLG_PROVA_DI_ESPLOSIVITA?exists &amp;&amp; FLG_PROVA_DI_ESPLOSIVITA!=''&gt;${FLG_PROVA_DI_ESPLOSIVITA}&lt;#else&gt;true&lt;/#if&gt;'==='true')</v>
      </c>
      <c r="X85" s="2" t="str">
        <f t="shared" si="25"/>
        <v>addNoStringField(FLG_PROVA_DI_ESPLOSIVITA, Boolean.class);</v>
      </c>
    </row>
    <row r="86" spans="1:24" s="2" customFormat="1" x14ac:dyDescent="0.25">
      <c r="A86" s="3" t="s">
        <v>393</v>
      </c>
      <c r="B86" t="str">
        <f t="shared" si="26"/>
        <v>,"Prova di esplosività_testo"</v>
      </c>
      <c r="C86" s="3"/>
      <c r="D86" s="3" t="s">
        <v>396</v>
      </c>
      <c r="E86" s="2" t="s">
        <v>0</v>
      </c>
      <c r="F86" s="2" t="s">
        <v>1</v>
      </c>
      <c r="K86" s="2" t="str">
        <f t="shared" si="27"/>
        <v xml:space="preserve">character varying(50),    </v>
      </c>
      <c r="L86" s="2" t="s">
        <v>397</v>
      </c>
      <c r="M86" s="2" t="str">
        <f t="shared" si="19"/>
        <v>PROVA_DI_ESPLOSIVITA_TESTO</v>
      </c>
      <c r="N86" s="2" t="s">
        <v>395</v>
      </c>
      <c r="O86" s="2" t="str">
        <f t="shared" si="20"/>
        <v>ALTER TABLE TEMP_PDL RENAME "Prova di esplosività_testo" TO PROVA_DI_ESPLOSIVITA_TESTO;</v>
      </c>
      <c r="P86" s="2" t="str">
        <f t="shared" si="28"/>
        <v>ALTER TABLE PDL ADD COLUMN PROVA_DI_ESPLOSIVITA_TESTO character varying(50)    ;</v>
      </c>
      <c r="Q86" s="2" t="str">
        <f t="shared" si="29"/>
        <v>PROVA_DI_ESPLOSIVITA_TESTO,</v>
      </c>
      <c r="R86" s="2" t="str">
        <f t="shared" si="30"/>
        <v>public static final String  PROVA_DI_ESPLOSIVITA_TESTO = "PROVA_DI_ESPLOSIVITA_TESTO";</v>
      </c>
      <c r="S86" s="2" t="str">
        <f t="shared" si="21"/>
        <v/>
      </c>
      <c r="T86" s="2" t="str">
        <f t="shared" si="22"/>
        <v>$('#PROVA_DI_ESPLOSIVITA_TESTO').val('&lt;#if PROVA_DI_ESPLOSIVITA_TESTO?exists&gt;${PROVA_DI_ESPLOSIVITA_TESTO}&lt;/#if&gt;')</v>
      </c>
      <c r="V86" s="2" t="str">
        <f t="shared" si="23"/>
        <v/>
      </c>
      <c r="W86" s="2" t="str">
        <f t="shared" si="24"/>
        <v/>
      </c>
      <c r="X86" s="2" t="str">
        <f t="shared" si="25"/>
        <v/>
      </c>
    </row>
    <row r="87" spans="1:24" s="2" customFormat="1" x14ac:dyDescent="0.25">
      <c r="A87" s="3" t="s">
        <v>84</v>
      </c>
      <c r="B87" t="str">
        <f t="shared" si="26"/>
        <v>,"Consegna - verifica - accettazione"</v>
      </c>
      <c r="C87" s="3"/>
      <c r="D87" s="3" t="s">
        <v>396</v>
      </c>
      <c r="E87" s="2" t="s">
        <v>8</v>
      </c>
      <c r="K87" s="2" t="str">
        <f t="shared" si="27"/>
        <v xml:space="preserve">boolean,     </v>
      </c>
      <c r="L87" s="2" t="s">
        <v>398</v>
      </c>
      <c r="M87" s="2" t="str">
        <f t="shared" si="19"/>
        <v>FLG_CONSEGNA_VERIFICA_ACCETTAZIONE</v>
      </c>
      <c r="N87" s="6" t="s">
        <v>319</v>
      </c>
      <c r="O87" s="2" t="str">
        <f t="shared" si="20"/>
        <v>ALTER TABLE TEMP_PDL RENAME "Consegna - verifica - accettazione" TO FLG_CONSEGNA_VERIFICA_ACCETTAZIONE;</v>
      </c>
      <c r="P87" s="2" t="str">
        <f t="shared" si="28"/>
        <v>ALTER TABLE PDL ADD COLUMN FLG_CONSEGNA_VERIFICA_ACCETTAZIONE boolean     ;</v>
      </c>
      <c r="Q87" s="2" t="str">
        <f t="shared" si="29"/>
        <v>FLG_CONSEGNA_VERIFICA_ACCETTAZIONE,</v>
      </c>
      <c r="R87" s="2" t="str">
        <f t="shared" si="30"/>
        <v>public static final String  FLG_CONSEGNA_VERIFICA_ACCETTAZIONE = "FLG_CONSEGNA_VERIFICA_ACCETTAZIONE";</v>
      </c>
      <c r="S87" s="2" t="str">
        <f t="shared" si="21"/>
        <v/>
      </c>
      <c r="T87" s="2" t="str">
        <f t="shared" si="22"/>
        <v/>
      </c>
      <c r="V87" s="2" t="str">
        <f t="shared" si="23"/>
        <v>$('#FLG_CONSEGNA_VERIFICA_ACCETTAZIONE').val($('#FLG_CONSEGNA_VERIFICA_ACCETTAZIONE').is(':checked'));</v>
      </c>
      <c r="W87" s="2" t="str">
        <f t="shared" si="24"/>
        <v>$('#FLG_CONSEGNA_VERIFICA_ACCETTAZIONE').prop('checked','&lt;#if FLG_CONSEGNA_VERIFICA_ACCETTAZIONE?exists &amp;&amp; FLG_CONSEGNA_VERIFICA_ACCETTAZIONE!=''&gt;${FLG_CONSEGNA_VERIFICA_ACCETTAZIONE}&lt;#else&gt;true&lt;/#if&gt;'==='true')</v>
      </c>
      <c r="X87" s="2" t="str">
        <f t="shared" si="25"/>
        <v>addNoStringField(FLG_CONSEGNA_VERIFICA_ACCETTAZIONE, Boolean.class);</v>
      </c>
    </row>
    <row r="88" spans="1:24" s="5" customFormat="1" x14ac:dyDescent="0.25">
      <c r="A88" s="4" t="s">
        <v>85</v>
      </c>
      <c r="B88" t="str">
        <f t="shared" si="26"/>
        <v>,"LI_MOD_47"</v>
      </c>
      <c r="C88" s="4"/>
      <c r="D88" s="4" t="s">
        <v>396</v>
      </c>
      <c r="E88" s="5" t="s">
        <v>0</v>
      </c>
      <c r="F88" s="5" t="s">
        <v>1</v>
      </c>
      <c r="K88" s="5" t="str">
        <f t="shared" si="27"/>
        <v xml:space="preserve">character varying(50),    </v>
      </c>
      <c r="L88" s="5" t="s">
        <v>397</v>
      </c>
      <c r="M88" s="5" t="str">
        <f t="shared" si="19"/>
        <v>LI_MOD_47</v>
      </c>
      <c r="N88" s="5" t="s">
        <v>85</v>
      </c>
      <c r="O88" s="5" t="str">
        <f t="shared" si="20"/>
        <v>ALTER TABLE TEMP_PDL RENAME "LI_MOD_47" TO LI_MOD_47;</v>
      </c>
      <c r="P88" s="5" t="str">
        <f t="shared" si="28"/>
        <v>ALTER TABLE PDL ADD COLUMN LI_MOD_47 character varying(50)    ;</v>
      </c>
      <c r="Q88" s="5" t="str">
        <f t="shared" si="29"/>
        <v>LI_MOD_47,</v>
      </c>
      <c r="R88" s="5" t="str">
        <f t="shared" si="30"/>
        <v>public static final String  LI_MOD_47 = "LI_MOD_47";</v>
      </c>
      <c r="S88" s="5" t="str">
        <f t="shared" si="21"/>
        <v/>
      </c>
      <c r="T88" s="5" t="str">
        <f t="shared" si="22"/>
        <v>$('#LI_MOD_47').val('&lt;#if LI_MOD_47?exists&gt;${LI_MOD_47}&lt;/#if&gt;')</v>
      </c>
      <c r="V88" s="5" t="str">
        <f t="shared" si="23"/>
        <v/>
      </c>
      <c r="W88" s="5" t="str">
        <f t="shared" si="24"/>
        <v/>
      </c>
      <c r="X88" s="5" t="str">
        <f t="shared" si="25"/>
        <v/>
      </c>
    </row>
    <row r="89" spans="1:24" s="2" customFormat="1" x14ac:dyDescent="0.25">
      <c r="A89" s="3" t="s">
        <v>86</v>
      </c>
      <c r="B89" t="str">
        <f t="shared" si="26"/>
        <v>,"Interferenza LI-MOD 40 - LI/SR MOD 89"</v>
      </c>
      <c r="C89" s="3"/>
      <c r="D89" s="3" t="s">
        <v>396</v>
      </c>
      <c r="E89" s="2" t="s">
        <v>87</v>
      </c>
      <c r="F89" s="2" t="s">
        <v>88</v>
      </c>
      <c r="G89" s="2" t="s">
        <v>89</v>
      </c>
      <c r="K89" s="2" t="str">
        <f t="shared" si="27"/>
        <v xml:space="preserve">boolean DEFAULT true,   </v>
      </c>
      <c r="L89" s="2" t="s">
        <v>400</v>
      </c>
      <c r="M89" s="2" t="str">
        <f t="shared" si="19"/>
        <v>FLG_INTERFERENZA_LI_MOD_40_LI_SR_MOD_89</v>
      </c>
      <c r="N89" s="6" t="s">
        <v>320</v>
      </c>
      <c r="O89" s="2" t="str">
        <f t="shared" si="20"/>
        <v>ALTER TABLE TEMP_PDL RENAME "Interferenza LI-MOD 40 - LI/SR MOD 89" TO FLG_INTERFERENZA_LI_MOD_40_LI_SR_MOD_89;</v>
      </c>
      <c r="P89" s="2" t="str">
        <f t="shared" si="28"/>
        <v>ALTER TABLE PDL ADD COLUMN FLG_INTERFERENZA_LI_MOD_40_LI_SR_MOD_89 boolean DEFAULT true   ;</v>
      </c>
      <c r="Q89" s="2" t="str">
        <f t="shared" si="29"/>
        <v>FLG_INTERFERENZA_LI_MOD_40_LI_SR_MOD_89,</v>
      </c>
      <c r="R89" s="2" t="str">
        <f t="shared" si="30"/>
        <v>public static final String  FLG_INTERFERENZA_LI_MOD_40_LI_SR_MOD_89 = "FLG_INTERFERENZA_LI_MOD_40_LI_SR_MOD_89";</v>
      </c>
      <c r="S89" s="2" t="str">
        <f t="shared" si="21"/>
        <v/>
      </c>
      <c r="T89" s="2" t="str">
        <f t="shared" si="22"/>
        <v/>
      </c>
      <c r="V89" s="2" t="str">
        <f t="shared" si="23"/>
        <v>$('#FLG_INTERFERENZA_LI_MOD_40_LI_SR_MOD_89').val($('#FLG_INTERFERENZA_LI_MOD_40_LI_SR_MOD_89').is(':checked'));</v>
      </c>
      <c r="W89" s="2" t="str">
        <f t="shared" si="24"/>
        <v>$('#FLG_INTERFERENZA_LI_MOD_40_LI_SR_MOD_89').prop('checked','&lt;#if FLG_INTERFERENZA_LI_MOD_40_LI_SR_MOD_89?exists &amp;&amp; FLG_INTERFERENZA_LI_MOD_40_LI_SR_MOD_89!=''&gt;${FLG_INTERFERENZA_LI_MOD_40_LI_SR_MOD_89}&lt;#else&gt;true&lt;/#if&gt;'==='true')</v>
      </c>
      <c r="X89" s="2" t="str">
        <f t="shared" si="25"/>
        <v>addNoStringField(FLG_INTERFERENZA_LI_MOD_40_LI_SR_MOD_89, Boolean.class);</v>
      </c>
    </row>
    <row r="90" spans="1:24" s="2" customFormat="1" x14ac:dyDescent="0.25">
      <c r="A90" s="3" t="s">
        <v>90</v>
      </c>
      <c r="B90" t="str">
        <f t="shared" si="26"/>
        <v>,"Lavare con"</v>
      </c>
      <c r="C90" s="3"/>
      <c r="D90" s="3" t="s">
        <v>396</v>
      </c>
      <c r="E90" s="2" t="s">
        <v>8</v>
      </c>
      <c r="K90" s="2" t="str">
        <f t="shared" si="27"/>
        <v xml:space="preserve">boolean,     </v>
      </c>
      <c r="L90" s="2" t="s">
        <v>398</v>
      </c>
      <c r="M90" s="2" t="str">
        <f t="shared" si="19"/>
        <v>FLG_LAVARE_CON</v>
      </c>
      <c r="N90" s="6" t="s">
        <v>321</v>
      </c>
      <c r="O90" s="2" t="str">
        <f t="shared" si="20"/>
        <v>ALTER TABLE TEMP_PDL RENAME "Lavare con" TO FLG_LAVARE_CON;</v>
      </c>
      <c r="P90" s="2" t="str">
        <f t="shared" si="28"/>
        <v>ALTER TABLE PDL ADD COLUMN FLG_LAVARE_CON boolean     ;</v>
      </c>
      <c r="Q90" s="2" t="str">
        <f t="shared" si="29"/>
        <v>FLG_LAVARE_CON,</v>
      </c>
      <c r="R90" s="2" t="str">
        <f t="shared" si="30"/>
        <v>public static final String  FLG_LAVARE_CON = "FLG_LAVARE_CON";</v>
      </c>
      <c r="S90" s="2" t="str">
        <f t="shared" si="21"/>
        <v/>
      </c>
      <c r="T90" s="2" t="str">
        <f t="shared" si="22"/>
        <v/>
      </c>
      <c r="V90" s="2" t="str">
        <f t="shared" si="23"/>
        <v>$('#FLG_LAVARE_CON').val($('#FLG_LAVARE_CON').is(':checked'));</v>
      </c>
      <c r="W90" s="2" t="str">
        <f t="shared" si="24"/>
        <v>$('#FLG_LAVARE_CON').prop('checked','&lt;#if FLG_LAVARE_CON?exists &amp;&amp; FLG_LAVARE_CON!=''&gt;${FLG_LAVARE_CON}&lt;#else&gt;true&lt;/#if&gt;'==='true')</v>
      </c>
      <c r="X90" s="2" t="str">
        <f t="shared" si="25"/>
        <v>addNoStringField(FLG_LAVARE_CON, Boolean.class);</v>
      </c>
    </row>
    <row r="91" spans="1:24" s="2" customFormat="1" x14ac:dyDescent="0.25">
      <c r="A91" s="3" t="s">
        <v>91</v>
      </c>
      <c r="B91" t="str">
        <f t="shared" si="26"/>
        <v>,"Lavare_con_testo"</v>
      </c>
      <c r="C91" s="3"/>
      <c r="D91" s="3" t="s">
        <v>396</v>
      </c>
      <c r="E91" s="2" t="s">
        <v>0</v>
      </c>
      <c r="F91" s="2" t="s">
        <v>1</v>
      </c>
      <c r="K91" s="2" t="str">
        <f t="shared" si="27"/>
        <v xml:space="preserve">character varying(50),    </v>
      </c>
      <c r="L91" s="2" t="s">
        <v>397</v>
      </c>
      <c r="M91" s="2" t="str">
        <f t="shared" si="19"/>
        <v>LAVARE_CON_TESTO</v>
      </c>
      <c r="N91" s="2" t="s">
        <v>220</v>
      </c>
      <c r="O91" s="2" t="str">
        <f t="shared" si="20"/>
        <v>ALTER TABLE TEMP_PDL RENAME "Lavare_con_testo" TO LAVARE_CON_TESTO;</v>
      </c>
      <c r="P91" s="2" t="str">
        <f t="shared" si="28"/>
        <v>ALTER TABLE PDL ADD COLUMN LAVARE_CON_TESTO character varying(50)    ;</v>
      </c>
      <c r="Q91" s="2" t="str">
        <f t="shared" si="29"/>
        <v>LAVARE_CON_TESTO,</v>
      </c>
      <c r="R91" s="2" t="str">
        <f t="shared" si="30"/>
        <v>public static final String  LAVARE_CON_TESTO = "LAVARE_CON_TESTO";</v>
      </c>
      <c r="S91" s="2" t="str">
        <f t="shared" si="21"/>
        <v/>
      </c>
      <c r="T91" s="2" t="str">
        <f t="shared" si="22"/>
        <v>$('#LAVARE_CON_TESTO').val('&lt;#if LAVARE_CON_TESTO?exists&gt;${LAVARE_CON_TESTO}&lt;/#if&gt;')</v>
      </c>
      <c r="V91" s="2" t="str">
        <f t="shared" si="23"/>
        <v/>
      </c>
      <c r="W91" s="2" t="str">
        <f t="shared" si="24"/>
        <v/>
      </c>
      <c r="X91" s="2" t="str">
        <f t="shared" si="25"/>
        <v/>
      </c>
    </row>
    <row r="92" spans="1:24" s="2" customFormat="1" x14ac:dyDescent="0.25">
      <c r="A92" s="3" t="s">
        <v>92</v>
      </c>
      <c r="B92" t="str">
        <f t="shared" si="26"/>
        <v>,"Bonificare con"</v>
      </c>
      <c r="C92" s="3"/>
      <c r="D92" s="3" t="s">
        <v>396</v>
      </c>
      <c r="E92" s="2" t="s">
        <v>8</v>
      </c>
      <c r="K92" s="2" t="str">
        <f t="shared" si="27"/>
        <v xml:space="preserve">boolean,     </v>
      </c>
      <c r="L92" s="2" t="s">
        <v>398</v>
      </c>
      <c r="M92" s="2" t="str">
        <f t="shared" si="19"/>
        <v>FLG_BONIFICARE_CON</v>
      </c>
      <c r="N92" s="6" t="s">
        <v>322</v>
      </c>
      <c r="O92" s="2" t="str">
        <f t="shared" si="20"/>
        <v>ALTER TABLE TEMP_PDL RENAME "Bonificare con" TO FLG_BONIFICARE_CON;</v>
      </c>
      <c r="P92" s="2" t="str">
        <f t="shared" si="28"/>
        <v>ALTER TABLE PDL ADD COLUMN FLG_BONIFICARE_CON boolean     ;</v>
      </c>
      <c r="Q92" s="2" t="str">
        <f t="shared" si="29"/>
        <v>FLG_BONIFICARE_CON,</v>
      </c>
      <c r="R92" s="2" t="str">
        <f t="shared" si="30"/>
        <v>public static final String  FLG_BONIFICARE_CON = "FLG_BONIFICARE_CON";</v>
      </c>
      <c r="S92" s="2" t="str">
        <f t="shared" si="21"/>
        <v/>
      </c>
      <c r="T92" s="2" t="str">
        <f t="shared" si="22"/>
        <v/>
      </c>
      <c r="V92" s="2" t="str">
        <f t="shared" si="23"/>
        <v>$('#FLG_BONIFICARE_CON').val($('#FLG_BONIFICARE_CON').is(':checked'));</v>
      </c>
      <c r="W92" s="2" t="str">
        <f t="shared" si="24"/>
        <v>$('#FLG_BONIFICARE_CON').prop('checked','&lt;#if FLG_BONIFICARE_CON?exists &amp;&amp; FLG_BONIFICARE_CON!=''&gt;${FLG_BONIFICARE_CON}&lt;#else&gt;true&lt;/#if&gt;'==='true')</v>
      </c>
      <c r="X92" s="2" t="str">
        <f t="shared" si="25"/>
        <v>addNoStringField(FLG_BONIFICARE_CON, Boolean.class);</v>
      </c>
    </row>
    <row r="93" spans="1:24" s="2" customFormat="1" x14ac:dyDescent="0.25">
      <c r="A93" s="3" t="s">
        <v>93</v>
      </c>
      <c r="B93" t="str">
        <f t="shared" si="26"/>
        <v>,"Bonificare_con_testo"</v>
      </c>
      <c r="C93" s="3"/>
      <c r="D93" s="3" t="s">
        <v>396</v>
      </c>
      <c r="E93" s="2" t="s">
        <v>94</v>
      </c>
      <c r="K93" s="2" t="str">
        <f t="shared" si="27"/>
        <v xml:space="preserve">text,     </v>
      </c>
      <c r="L93" s="2" t="s">
        <v>401</v>
      </c>
      <c r="M93" s="2" t="str">
        <f t="shared" si="19"/>
        <v>BONIFICARE_CON_TESTO</v>
      </c>
      <c r="N93" s="2" t="s">
        <v>221</v>
      </c>
      <c r="O93" s="2" t="str">
        <f t="shared" si="20"/>
        <v>ALTER TABLE TEMP_PDL RENAME "Bonificare_con_testo" TO BONIFICARE_CON_TESTO;</v>
      </c>
      <c r="P93" s="2" t="str">
        <f t="shared" si="28"/>
        <v>ALTER TABLE PDL ADD COLUMN BONIFICARE_CON_TESTO text     ;</v>
      </c>
      <c r="Q93" s="2" t="str">
        <f t="shared" si="29"/>
        <v>BONIFICARE_CON_TESTO,</v>
      </c>
      <c r="R93" s="2" t="str">
        <f t="shared" si="30"/>
        <v>public static final String  BONIFICARE_CON_TESTO = "BONIFICARE_CON_TESTO";</v>
      </c>
      <c r="S93" s="2" t="str">
        <f t="shared" si="21"/>
        <v/>
      </c>
      <c r="T93" s="2" t="str">
        <f t="shared" si="22"/>
        <v>$('#BONIFICARE_CON_TESTO').val('&lt;#if BONIFICARE_CON_TESTO?exists&gt;${BONIFICARE_CON_TESTO}&lt;/#if&gt;')</v>
      </c>
      <c r="V93" s="2" t="str">
        <f t="shared" si="23"/>
        <v/>
      </c>
      <c r="W93" s="2" t="str">
        <f t="shared" si="24"/>
        <v/>
      </c>
      <c r="X93" s="2" t="str">
        <f t="shared" si="25"/>
        <v/>
      </c>
    </row>
    <row r="94" spans="1:24" s="2" customFormat="1" x14ac:dyDescent="0.25">
      <c r="A94" s="3" t="s">
        <v>95</v>
      </c>
      <c r="B94" t="str">
        <f t="shared" si="26"/>
        <v>,"Predisporre manichette con"</v>
      </c>
      <c r="C94" s="3"/>
      <c r="D94" s="3" t="s">
        <v>396</v>
      </c>
      <c r="E94" s="2" t="s">
        <v>8</v>
      </c>
      <c r="K94" s="2" t="str">
        <f t="shared" si="27"/>
        <v xml:space="preserve">boolean,     </v>
      </c>
      <c r="L94" s="2" t="s">
        <v>398</v>
      </c>
      <c r="M94" s="2" t="str">
        <f t="shared" si="19"/>
        <v>FLG_PREDISPORRE_MANICHETTE_CON</v>
      </c>
      <c r="N94" s="6" t="s">
        <v>323</v>
      </c>
      <c r="O94" s="2" t="str">
        <f t="shared" si="20"/>
        <v>ALTER TABLE TEMP_PDL RENAME "Predisporre manichette con" TO FLG_PREDISPORRE_MANICHETTE_CON;</v>
      </c>
      <c r="P94" s="2" t="str">
        <f t="shared" si="28"/>
        <v>ALTER TABLE PDL ADD COLUMN FLG_PREDISPORRE_MANICHETTE_CON boolean     ;</v>
      </c>
      <c r="Q94" s="2" t="str">
        <f t="shared" si="29"/>
        <v>FLG_PREDISPORRE_MANICHETTE_CON,</v>
      </c>
      <c r="R94" s="2" t="str">
        <f t="shared" si="30"/>
        <v>public static final String  FLG_PREDISPORRE_MANICHETTE_CON = "FLG_PREDISPORRE_MANICHETTE_CON";</v>
      </c>
      <c r="S94" s="2" t="str">
        <f t="shared" si="21"/>
        <v/>
      </c>
      <c r="T94" s="2" t="str">
        <f t="shared" si="22"/>
        <v/>
      </c>
      <c r="V94" s="2" t="str">
        <f t="shared" si="23"/>
        <v>$('#FLG_PREDISPORRE_MANICHETTE_CON').val($('#FLG_PREDISPORRE_MANICHETTE_CON').is(':checked'));</v>
      </c>
      <c r="W94" s="2" t="str">
        <f t="shared" si="24"/>
        <v>$('#FLG_PREDISPORRE_MANICHETTE_CON').prop('checked','&lt;#if FLG_PREDISPORRE_MANICHETTE_CON?exists &amp;&amp; FLG_PREDISPORRE_MANICHETTE_CON!=''&gt;${FLG_PREDISPORRE_MANICHETTE_CON}&lt;#else&gt;true&lt;/#if&gt;'==='true')</v>
      </c>
      <c r="X94" s="2" t="str">
        <f t="shared" si="25"/>
        <v>addNoStringField(FLG_PREDISPORRE_MANICHETTE_CON, Boolean.class);</v>
      </c>
    </row>
    <row r="95" spans="1:24" s="2" customFormat="1" x14ac:dyDescent="0.25">
      <c r="A95" s="3" t="s">
        <v>96</v>
      </c>
      <c r="B95" t="str">
        <f t="shared" si="26"/>
        <v>,"Predisporre_manichette_con_test"</v>
      </c>
      <c r="C95" s="3"/>
      <c r="D95" s="3" t="s">
        <v>396</v>
      </c>
      <c r="E95" s="2" t="s">
        <v>0</v>
      </c>
      <c r="F95" s="2" t="s">
        <v>1</v>
      </c>
      <c r="K95" s="2" t="str">
        <f t="shared" si="27"/>
        <v xml:space="preserve">character varying(50),    </v>
      </c>
      <c r="L95" s="2" t="s">
        <v>397</v>
      </c>
      <c r="M95" s="2" t="str">
        <f t="shared" si="19"/>
        <v>PREDISPORRE_MANICHETTE_CON_TEST</v>
      </c>
      <c r="N95" s="2" t="s">
        <v>222</v>
      </c>
      <c r="O95" s="2" t="str">
        <f t="shared" si="20"/>
        <v>ALTER TABLE TEMP_PDL RENAME "Predisporre_manichette_con_test" TO PREDISPORRE_MANICHETTE_CON_TEST;</v>
      </c>
      <c r="P95" s="2" t="str">
        <f t="shared" si="28"/>
        <v>ALTER TABLE PDL ADD COLUMN PREDISPORRE_MANICHETTE_CON_TEST character varying(50)    ;</v>
      </c>
      <c r="Q95" s="2" t="str">
        <f t="shared" si="29"/>
        <v>PREDISPORRE_MANICHETTE_CON_TEST,</v>
      </c>
      <c r="R95" s="2" t="str">
        <f t="shared" si="30"/>
        <v>public static final String  PREDISPORRE_MANICHETTE_CON_TEST = "PREDISPORRE_MANICHETTE_CON_TEST";</v>
      </c>
      <c r="S95" s="2" t="str">
        <f t="shared" si="21"/>
        <v/>
      </c>
      <c r="T95" s="2" t="str">
        <f t="shared" si="22"/>
        <v>$('#PREDISPORRE_MANICHETTE_CON_TEST').val('&lt;#if PREDISPORRE_MANICHETTE_CON_TEST?exists&gt;${PREDISPORRE_MANICHETTE_CON_TEST}&lt;/#if&gt;')</v>
      </c>
      <c r="V95" s="2" t="str">
        <f t="shared" si="23"/>
        <v/>
      </c>
      <c r="W95" s="2" t="str">
        <f t="shared" si="24"/>
        <v/>
      </c>
      <c r="X95" s="2" t="str">
        <f t="shared" si="25"/>
        <v/>
      </c>
    </row>
    <row r="96" spans="1:24" s="2" customFormat="1" x14ac:dyDescent="0.25">
      <c r="A96" s="3" t="s">
        <v>97</v>
      </c>
      <c r="B96" t="str">
        <f t="shared" si="26"/>
        <v>,"Altro_sez1_Prescrizioni_sic1_testo"</v>
      </c>
      <c r="C96" s="3"/>
      <c r="D96" s="3" t="s">
        <v>396</v>
      </c>
      <c r="E96" s="2" t="s">
        <v>94</v>
      </c>
      <c r="K96" s="2" t="str">
        <f t="shared" si="27"/>
        <v xml:space="preserve">text,     </v>
      </c>
      <c r="L96" s="2" t="s">
        <v>401</v>
      </c>
      <c r="M96" s="2" t="str">
        <f t="shared" si="19"/>
        <v>ALTRO_SEZ1_PRESCRIZIONI_SIC1_TESTO</v>
      </c>
      <c r="N96" s="2" t="s">
        <v>223</v>
      </c>
      <c r="O96" s="2" t="str">
        <f t="shared" si="20"/>
        <v>ALTER TABLE TEMP_PDL RENAME "Altro_sez1_Prescrizioni_sic1_testo" TO ALTRO_SEZ1_PRESCRIZIONI_SIC1_TESTO;</v>
      </c>
      <c r="P96" s="2" t="str">
        <f t="shared" si="28"/>
        <v>ALTER TABLE PDL ADD COLUMN ALTRO_SEZ1_PRESCRIZIONI_SIC1_TESTO text     ;</v>
      </c>
      <c r="Q96" s="2" t="str">
        <f t="shared" si="29"/>
        <v>ALTRO_SEZ1_PRESCRIZIONI_SIC1_TESTO,</v>
      </c>
      <c r="R96" s="2" t="str">
        <f t="shared" si="30"/>
        <v>public static final String  ALTRO_SEZ1_PRESCRIZIONI_SIC1_TESTO = "ALTRO_SEZ1_PRESCRIZIONI_SIC1_TESTO";</v>
      </c>
      <c r="S96" s="2" t="str">
        <f t="shared" si="21"/>
        <v/>
      </c>
      <c r="T96" s="2" t="str">
        <f t="shared" si="22"/>
        <v>$('#ALTRO_SEZ1_PRESCRIZIONI_SIC1_TESTO').val('&lt;#if ALTRO_SEZ1_PRESCRIZIONI_SIC1_TESTO?exists&gt;${ALTRO_SEZ1_PRESCRIZIONI_SIC1_TESTO}&lt;/#if&gt;')</v>
      </c>
      <c r="V96" s="2" t="str">
        <f t="shared" si="23"/>
        <v/>
      </c>
      <c r="W96" s="2" t="str">
        <f t="shared" si="24"/>
        <v/>
      </c>
      <c r="X96" s="2" t="str">
        <f t="shared" si="25"/>
        <v/>
      </c>
    </row>
    <row r="97" spans="1:24" s="2" customFormat="1" x14ac:dyDescent="0.25">
      <c r="A97" s="3" t="s">
        <v>98</v>
      </c>
      <c r="B97" t="str">
        <f t="shared" si="26"/>
        <v>,"Produzione rifiuti pericolosi"</v>
      </c>
      <c r="C97" s="3"/>
      <c r="D97" s="3" t="s">
        <v>396</v>
      </c>
      <c r="E97" s="2" t="s">
        <v>8</v>
      </c>
      <c r="K97" s="2" t="str">
        <f t="shared" si="27"/>
        <v xml:space="preserve">boolean,     </v>
      </c>
      <c r="L97" s="2" t="s">
        <v>398</v>
      </c>
      <c r="M97" s="2" t="str">
        <f t="shared" ref="M97:M128" si="31">CONCATENATE(IF(E97="boolean,","FLG_",""),IF(E97="boolean","FLG_",""),IF(C97&lt;&gt;"",C97,SUBSTITUTE(SUBSTITUTE(UPPER(SUBSTITUTE(SUBSTITUTE(SUBSTITUTE(SUBSTITUTE(SUBSTITUTE(SUBSTITUTE(SUBSTITUTE(A97,"'",""),"-","_"),"à","a"),"ù","u"),"/","_"),"°","")," ","_")),"__","_"),"__","_")))</f>
        <v>FLG_PRODUZIONE_RIFIUTI_PERICOLOSI</v>
      </c>
      <c r="N97" s="6" t="s">
        <v>324</v>
      </c>
      <c r="O97" s="2" t="str">
        <f t="shared" ref="O97:O128" si="32">CONCATENATE("ALTER TABLE TEMP_PDL RENAME """,A97,""" TO ",N97,";")</f>
        <v>ALTER TABLE TEMP_PDL RENAME "Produzione rifiuti pericolosi" TO FLG_PRODUZIONE_RIFIUTI_PERICOLOSI;</v>
      </c>
      <c r="P97" s="2" t="str">
        <f t="shared" si="28"/>
        <v>ALTER TABLE PDL ADD COLUMN FLG_PRODUZIONE_RIFIUTI_PERICOLOSI boolean     ;</v>
      </c>
      <c r="Q97" s="2" t="str">
        <f t="shared" si="29"/>
        <v>FLG_PRODUZIONE_RIFIUTI_PERICOLOSI,</v>
      </c>
      <c r="R97" s="2" t="str">
        <f t="shared" si="30"/>
        <v>public static final String  FLG_PRODUZIONE_RIFIUTI_PERICOLOSI = "FLG_PRODUZIONE_RIFIUTI_PERICOLOSI";</v>
      </c>
      <c r="S97" s="2" t="str">
        <f t="shared" ref="S97:S128" si="33">IF(E97="timestamp",CONCATENATE("addNoStringField(",N97,", Timestamp.class);"),"")</f>
        <v/>
      </c>
      <c r="T97" s="2" t="str">
        <f t="shared" ref="T97:T128" si="34">IF(MID(N97,1,3)="FLG","",CONCATENATE("$('#",N97,"').val('&lt;#if ",N97,"?exists&gt;${",N97,"}&lt;/#if&gt;')"))</f>
        <v/>
      </c>
      <c r="V97" s="2" t="str">
        <f t="shared" ref="V97:V128" si="35">IF(MID(M97,1,3)="FLG",CONCATENATE("$('#",N97,"').val($('#",N97,"').is(':checked'));"),"")</f>
        <v>$('#FLG_PRODUZIONE_RIFIUTI_PERICOLOSI').val($('#FLG_PRODUZIONE_RIFIUTI_PERICOLOSI').is(':checked'));</v>
      </c>
      <c r="W97" s="2" t="str">
        <f t="shared" ref="W97:W128" si="36">IF(MID(N97,1,3)="FLG",CONCATENATE("$('#",N97,"').prop('checked','&lt;#if ",N97,"?exists &amp;&amp; ",N97,"!=''&gt;${",N97,"}&lt;#else&gt;true&lt;/#if&gt;'==='true')"),"")</f>
        <v>$('#FLG_PRODUZIONE_RIFIUTI_PERICOLOSI').prop('checked','&lt;#if FLG_PRODUZIONE_RIFIUTI_PERICOLOSI?exists &amp;&amp; FLG_PRODUZIONE_RIFIUTI_PERICOLOSI!=''&gt;${FLG_PRODUZIONE_RIFIUTI_PERICOLOSI}&lt;#else&gt;true&lt;/#if&gt;'==='true')</v>
      </c>
      <c r="X97" s="2" t="str">
        <f t="shared" ref="X97:X128" si="37">IF(MID(Q97,1,3)="FLG",CONCATENATE("addNoStringField(",N97,", Boolean.class);"),"")</f>
        <v>addNoStringField(FLG_PRODUZIONE_RIFIUTI_PERICOLOSI, Boolean.class);</v>
      </c>
    </row>
    <row r="98" spans="1:24" s="2" customFormat="1" x14ac:dyDescent="0.25">
      <c r="A98" s="3" t="s">
        <v>99</v>
      </c>
      <c r="B98" t="str">
        <f t="shared" si="26"/>
        <v>,"Produzione rifiuti non pericolosi"</v>
      </c>
      <c r="C98" s="3"/>
      <c r="D98" s="3" t="s">
        <v>396</v>
      </c>
      <c r="E98" s="2" t="s">
        <v>8</v>
      </c>
      <c r="K98" s="2" t="str">
        <f t="shared" si="27"/>
        <v xml:space="preserve">boolean,     </v>
      </c>
      <c r="L98" s="2" t="s">
        <v>398</v>
      </c>
      <c r="M98" s="2" t="str">
        <f t="shared" si="31"/>
        <v>FLG_PRODUZIONE_RIFIUTI_NON_PERICOLOSI</v>
      </c>
      <c r="N98" s="6" t="s">
        <v>325</v>
      </c>
      <c r="O98" s="2" t="str">
        <f t="shared" si="32"/>
        <v>ALTER TABLE TEMP_PDL RENAME "Produzione rifiuti non pericolosi" TO FLG_PRODUZIONE_RIFIUTI_NON_PERICOLOSI;</v>
      </c>
      <c r="P98" s="2" t="str">
        <f t="shared" si="28"/>
        <v>ALTER TABLE PDL ADD COLUMN FLG_PRODUZIONE_RIFIUTI_NON_PERICOLOSI boolean     ;</v>
      </c>
      <c r="Q98" s="2" t="str">
        <f t="shared" si="29"/>
        <v>FLG_PRODUZIONE_RIFIUTI_NON_PERICOLOSI,</v>
      </c>
      <c r="R98" s="2" t="str">
        <f t="shared" si="30"/>
        <v>public static final String  FLG_PRODUZIONE_RIFIUTI_NON_PERICOLOSI = "FLG_PRODUZIONE_RIFIUTI_NON_PERICOLOSI";</v>
      </c>
      <c r="S98" s="2" t="str">
        <f t="shared" si="33"/>
        <v/>
      </c>
      <c r="T98" s="2" t="str">
        <f t="shared" si="34"/>
        <v/>
      </c>
      <c r="V98" s="2" t="str">
        <f t="shared" si="35"/>
        <v>$('#FLG_PRODUZIONE_RIFIUTI_NON_PERICOLOSI').val($('#FLG_PRODUZIONE_RIFIUTI_NON_PERICOLOSI').is(':checked'));</v>
      </c>
      <c r="W98" s="2" t="str">
        <f t="shared" si="36"/>
        <v>$('#FLG_PRODUZIONE_RIFIUTI_NON_PERICOLOSI').prop('checked','&lt;#if FLG_PRODUZIONE_RIFIUTI_NON_PERICOLOSI?exists &amp;&amp; FLG_PRODUZIONE_RIFIUTI_NON_PERICOLOSI!=''&gt;${FLG_PRODUZIONE_RIFIUTI_NON_PERICOLOSI}&lt;#else&gt;true&lt;/#if&gt;'==='true')</v>
      </c>
      <c r="X98" s="2" t="str">
        <f t="shared" si="37"/>
        <v>addNoStringField(FLG_PRODUZIONE_RIFIUTI_NON_PERICOLOSI, Boolean.class);</v>
      </c>
    </row>
    <row r="99" spans="1:24" s="2" customFormat="1" x14ac:dyDescent="0.25">
      <c r="A99" s="3" t="s">
        <v>100</v>
      </c>
      <c r="B99" t="str">
        <f t="shared" si="26"/>
        <v>,"Rischio spandimento"</v>
      </c>
      <c r="C99" s="3"/>
      <c r="D99" s="3" t="s">
        <v>396</v>
      </c>
      <c r="E99" s="2" t="s">
        <v>8</v>
      </c>
      <c r="K99" s="2" t="str">
        <f t="shared" si="27"/>
        <v xml:space="preserve">boolean,     </v>
      </c>
      <c r="L99" s="2" t="s">
        <v>398</v>
      </c>
      <c r="M99" s="2" t="str">
        <f t="shared" si="31"/>
        <v>FLG_RISCHIO_SPANDIMENTO</v>
      </c>
      <c r="N99" s="6" t="s">
        <v>326</v>
      </c>
      <c r="O99" s="2" t="str">
        <f t="shared" si="32"/>
        <v>ALTER TABLE TEMP_PDL RENAME "Rischio spandimento" TO FLG_RISCHIO_SPANDIMENTO;</v>
      </c>
      <c r="P99" s="2" t="str">
        <f t="shared" si="28"/>
        <v>ALTER TABLE PDL ADD COLUMN FLG_RISCHIO_SPANDIMENTO boolean     ;</v>
      </c>
      <c r="Q99" s="2" t="str">
        <f t="shared" si="29"/>
        <v>FLG_RISCHIO_SPANDIMENTO,</v>
      </c>
      <c r="R99" s="2" t="str">
        <f t="shared" si="30"/>
        <v>public static final String  FLG_RISCHIO_SPANDIMENTO = "FLG_RISCHIO_SPANDIMENTO";</v>
      </c>
      <c r="S99" s="2" t="str">
        <f t="shared" si="33"/>
        <v/>
      </c>
      <c r="T99" s="2" t="str">
        <f t="shared" si="34"/>
        <v/>
      </c>
      <c r="V99" s="2" t="str">
        <f t="shared" si="35"/>
        <v>$('#FLG_RISCHIO_SPANDIMENTO').val($('#FLG_RISCHIO_SPANDIMENTO').is(':checked'));</v>
      </c>
      <c r="W99" s="2" t="str">
        <f t="shared" si="36"/>
        <v>$('#FLG_RISCHIO_SPANDIMENTO').prop('checked','&lt;#if FLG_RISCHIO_SPANDIMENTO?exists &amp;&amp; FLG_RISCHIO_SPANDIMENTO!=''&gt;${FLG_RISCHIO_SPANDIMENTO}&lt;#else&gt;true&lt;/#if&gt;'==='true')</v>
      </c>
      <c r="X99" s="2" t="str">
        <f t="shared" si="37"/>
        <v>addNoStringField(FLG_RISCHIO_SPANDIMENTO, Boolean.class);</v>
      </c>
    </row>
    <row r="100" spans="1:24" s="2" customFormat="1" x14ac:dyDescent="0.25">
      <c r="A100" s="3" t="s">
        <v>101</v>
      </c>
      <c r="B100" t="str">
        <f t="shared" si="26"/>
        <v>,"Emissioni in atmosfera"</v>
      </c>
      <c r="C100" s="3"/>
      <c r="D100" s="3" t="s">
        <v>396</v>
      </c>
      <c r="E100" s="2" t="s">
        <v>8</v>
      </c>
      <c r="K100" s="2" t="str">
        <f t="shared" si="27"/>
        <v xml:space="preserve">boolean,     </v>
      </c>
      <c r="L100" s="2" t="s">
        <v>398</v>
      </c>
      <c r="M100" s="2" t="str">
        <f t="shared" si="31"/>
        <v>FLG_EMISSIONI_IN_ATMOSFERA</v>
      </c>
      <c r="N100" s="6" t="s">
        <v>327</v>
      </c>
      <c r="O100" s="2" t="str">
        <f t="shared" si="32"/>
        <v>ALTER TABLE TEMP_PDL RENAME "Emissioni in atmosfera" TO FLG_EMISSIONI_IN_ATMOSFERA;</v>
      </c>
      <c r="P100" s="2" t="str">
        <f t="shared" si="28"/>
        <v>ALTER TABLE PDL ADD COLUMN FLG_EMISSIONI_IN_ATMOSFERA boolean     ;</v>
      </c>
      <c r="Q100" s="2" t="str">
        <f t="shared" si="29"/>
        <v>FLG_EMISSIONI_IN_ATMOSFERA,</v>
      </c>
      <c r="R100" s="2" t="str">
        <f t="shared" si="30"/>
        <v>public static final String  FLG_EMISSIONI_IN_ATMOSFERA = "FLG_EMISSIONI_IN_ATMOSFERA";</v>
      </c>
      <c r="S100" s="2" t="str">
        <f t="shared" si="33"/>
        <v/>
      </c>
      <c r="T100" s="2" t="str">
        <f t="shared" si="34"/>
        <v/>
      </c>
      <c r="V100" s="2" t="str">
        <f t="shared" si="35"/>
        <v>$('#FLG_EMISSIONI_IN_ATMOSFERA').val($('#FLG_EMISSIONI_IN_ATMOSFERA').is(':checked'));</v>
      </c>
      <c r="W100" s="2" t="str">
        <f t="shared" si="36"/>
        <v>$('#FLG_EMISSIONI_IN_ATMOSFERA').prop('checked','&lt;#if FLG_EMISSIONI_IN_ATMOSFERA?exists &amp;&amp; FLG_EMISSIONI_IN_ATMOSFERA!=''&gt;${FLG_EMISSIONI_IN_ATMOSFERA}&lt;#else&gt;true&lt;/#if&gt;'==='true')</v>
      </c>
      <c r="X100" s="2" t="str">
        <f t="shared" si="37"/>
        <v>addNoStringField(FLG_EMISSIONI_IN_ATMOSFERA, Boolean.class);</v>
      </c>
    </row>
    <row r="101" spans="1:24" s="2" customFormat="1" x14ac:dyDescent="0.25">
      <c r="A101" s="3" t="s">
        <v>102</v>
      </c>
      <c r="B101" t="str">
        <f t="shared" si="26"/>
        <v>,"Precauzioni da adottare"</v>
      </c>
      <c r="C101" s="3"/>
      <c r="D101" s="3" t="s">
        <v>396</v>
      </c>
      <c r="E101" s="2" t="s">
        <v>94</v>
      </c>
      <c r="K101" s="2" t="str">
        <f t="shared" si="27"/>
        <v xml:space="preserve">text,     </v>
      </c>
      <c r="L101" s="2" t="s">
        <v>401</v>
      </c>
      <c r="M101" s="2" t="str">
        <f t="shared" si="31"/>
        <v>PRECAUZIONI_DA_ADOTTARE</v>
      </c>
      <c r="N101" s="2" t="s">
        <v>224</v>
      </c>
      <c r="O101" s="2" t="str">
        <f t="shared" si="32"/>
        <v>ALTER TABLE TEMP_PDL RENAME "Precauzioni da adottare" TO PRECAUZIONI_DA_ADOTTARE;</v>
      </c>
      <c r="P101" s="2" t="str">
        <f t="shared" si="28"/>
        <v>ALTER TABLE PDL ADD COLUMN PRECAUZIONI_DA_ADOTTARE text     ;</v>
      </c>
      <c r="Q101" s="2" t="str">
        <f t="shared" si="29"/>
        <v>PRECAUZIONI_DA_ADOTTARE,</v>
      </c>
      <c r="R101" s="2" t="str">
        <f t="shared" si="30"/>
        <v>public static final String  PRECAUZIONI_DA_ADOTTARE = "PRECAUZIONI_DA_ADOTTARE";</v>
      </c>
      <c r="S101" s="2" t="str">
        <f t="shared" si="33"/>
        <v/>
      </c>
      <c r="T101" s="2" t="str">
        <f t="shared" si="34"/>
        <v>$('#PRECAUZIONI_DA_ADOTTARE').val('&lt;#if PRECAUZIONI_DA_ADOTTARE?exists&gt;${PRECAUZIONI_DA_ADOTTARE}&lt;/#if&gt;')</v>
      </c>
      <c r="V101" s="2" t="str">
        <f t="shared" si="35"/>
        <v/>
      </c>
      <c r="W101" s="2" t="str">
        <f t="shared" si="36"/>
        <v/>
      </c>
      <c r="X101" s="2" t="str">
        <f t="shared" si="37"/>
        <v/>
      </c>
    </row>
    <row r="102" spans="1:24" s="2" customFormat="1" x14ac:dyDescent="0.25">
      <c r="A102" s="3" t="s">
        <v>103</v>
      </c>
      <c r="B102" t="str">
        <f t="shared" si="26"/>
        <v>,"Tuta da lavoro"</v>
      </c>
      <c r="C102" s="3"/>
      <c r="D102" s="3" t="s">
        <v>396</v>
      </c>
      <c r="E102" s="2" t="s">
        <v>87</v>
      </c>
      <c r="F102" s="2" t="s">
        <v>88</v>
      </c>
      <c r="G102" s="2" t="s">
        <v>104</v>
      </c>
      <c r="K102" s="2" t="str">
        <f t="shared" si="27"/>
        <v xml:space="preserve">boolean DEFAULT false,   </v>
      </c>
      <c r="L102" s="2" t="s">
        <v>402</v>
      </c>
      <c r="M102" s="2" t="str">
        <f t="shared" si="31"/>
        <v>FLG_TUTA_DA_LAVORO</v>
      </c>
      <c r="N102" s="6" t="s">
        <v>328</v>
      </c>
      <c r="O102" s="2" t="str">
        <f t="shared" si="32"/>
        <v>ALTER TABLE TEMP_PDL RENAME "Tuta da lavoro" TO FLG_TUTA_DA_LAVORO;</v>
      </c>
      <c r="P102" s="2" t="str">
        <f t="shared" si="28"/>
        <v>ALTER TABLE PDL ADD COLUMN FLG_TUTA_DA_LAVORO boolean DEFAULT false   ;</v>
      </c>
      <c r="Q102" s="2" t="str">
        <f t="shared" si="29"/>
        <v>FLG_TUTA_DA_LAVORO,</v>
      </c>
      <c r="R102" s="2" t="str">
        <f t="shared" si="30"/>
        <v>public static final String  FLG_TUTA_DA_LAVORO = "FLG_TUTA_DA_LAVORO";</v>
      </c>
      <c r="S102" s="2" t="str">
        <f t="shared" si="33"/>
        <v/>
      </c>
      <c r="T102" s="2" t="str">
        <f t="shared" si="34"/>
        <v/>
      </c>
      <c r="V102" s="2" t="str">
        <f t="shared" si="35"/>
        <v>$('#FLG_TUTA_DA_LAVORO').val($('#FLG_TUTA_DA_LAVORO').is(':checked'));</v>
      </c>
      <c r="W102" s="2" t="str">
        <f t="shared" si="36"/>
        <v>$('#FLG_TUTA_DA_LAVORO').prop('checked','&lt;#if FLG_TUTA_DA_LAVORO?exists &amp;&amp; FLG_TUTA_DA_LAVORO!=''&gt;${FLG_TUTA_DA_LAVORO}&lt;#else&gt;true&lt;/#if&gt;'==='true')</v>
      </c>
      <c r="X102" s="2" t="str">
        <f t="shared" si="37"/>
        <v>addNoStringField(FLG_TUTA_DA_LAVORO, Boolean.class);</v>
      </c>
    </row>
    <row r="103" spans="1:24" s="2" customFormat="1" x14ac:dyDescent="0.25">
      <c r="A103" s="3" t="s">
        <v>105</v>
      </c>
      <c r="B103" t="str">
        <f t="shared" si="26"/>
        <v>,"Scarpe di sicurezza"</v>
      </c>
      <c r="C103" s="3"/>
      <c r="D103" s="3" t="s">
        <v>396</v>
      </c>
      <c r="E103" s="2" t="s">
        <v>87</v>
      </c>
      <c r="F103" s="2" t="s">
        <v>88</v>
      </c>
      <c r="G103" s="2" t="s">
        <v>104</v>
      </c>
      <c r="K103" s="2" t="str">
        <f t="shared" si="27"/>
        <v xml:space="preserve">boolean DEFAULT false,   </v>
      </c>
      <c r="L103" s="2" t="s">
        <v>402</v>
      </c>
      <c r="M103" s="2" t="str">
        <f t="shared" si="31"/>
        <v>FLG_SCARPE_DI_SICUREZZA</v>
      </c>
      <c r="N103" s="6" t="s">
        <v>329</v>
      </c>
      <c r="O103" s="2" t="str">
        <f t="shared" si="32"/>
        <v>ALTER TABLE TEMP_PDL RENAME "Scarpe di sicurezza" TO FLG_SCARPE_DI_SICUREZZA;</v>
      </c>
      <c r="P103" s="2" t="str">
        <f t="shared" si="28"/>
        <v>ALTER TABLE PDL ADD COLUMN FLG_SCARPE_DI_SICUREZZA boolean DEFAULT false   ;</v>
      </c>
      <c r="Q103" s="2" t="str">
        <f t="shared" si="29"/>
        <v>FLG_SCARPE_DI_SICUREZZA,</v>
      </c>
      <c r="R103" s="2" t="str">
        <f t="shared" si="30"/>
        <v>public static final String  FLG_SCARPE_DI_SICUREZZA = "FLG_SCARPE_DI_SICUREZZA";</v>
      </c>
      <c r="S103" s="2" t="str">
        <f t="shared" si="33"/>
        <v/>
      </c>
      <c r="T103" s="2" t="str">
        <f t="shared" si="34"/>
        <v/>
      </c>
      <c r="V103" s="2" t="str">
        <f t="shared" si="35"/>
        <v>$('#FLG_SCARPE_DI_SICUREZZA').val($('#FLG_SCARPE_DI_SICUREZZA').is(':checked'));</v>
      </c>
      <c r="W103" s="2" t="str">
        <f t="shared" si="36"/>
        <v>$('#FLG_SCARPE_DI_SICUREZZA').prop('checked','&lt;#if FLG_SCARPE_DI_SICUREZZA?exists &amp;&amp; FLG_SCARPE_DI_SICUREZZA!=''&gt;${FLG_SCARPE_DI_SICUREZZA}&lt;#else&gt;true&lt;/#if&gt;'==='true')</v>
      </c>
      <c r="X103" s="2" t="str">
        <f t="shared" si="37"/>
        <v>addNoStringField(FLG_SCARPE_DI_SICUREZZA, Boolean.class);</v>
      </c>
    </row>
    <row r="104" spans="1:24" s="2" customFormat="1" x14ac:dyDescent="0.25">
      <c r="A104" s="3" t="s">
        <v>106</v>
      </c>
      <c r="B104" t="str">
        <f t="shared" si="26"/>
        <v>,"Guanti"</v>
      </c>
      <c r="C104" s="3"/>
      <c r="D104" s="3" t="s">
        <v>396</v>
      </c>
      <c r="E104" s="2" t="s">
        <v>87</v>
      </c>
      <c r="F104" s="2" t="s">
        <v>88</v>
      </c>
      <c r="G104" s="2" t="s">
        <v>104</v>
      </c>
      <c r="K104" s="2" t="str">
        <f t="shared" si="27"/>
        <v xml:space="preserve">boolean DEFAULT false,   </v>
      </c>
      <c r="L104" s="2" t="s">
        <v>402</v>
      </c>
      <c r="M104" s="2" t="str">
        <f t="shared" si="31"/>
        <v>FLG_GUANTI</v>
      </c>
      <c r="N104" s="6" t="s">
        <v>330</v>
      </c>
      <c r="O104" s="2" t="str">
        <f t="shared" si="32"/>
        <v>ALTER TABLE TEMP_PDL RENAME "Guanti" TO FLG_GUANTI;</v>
      </c>
      <c r="P104" s="2" t="str">
        <f t="shared" si="28"/>
        <v>ALTER TABLE PDL ADD COLUMN FLG_GUANTI boolean DEFAULT false   ;</v>
      </c>
      <c r="Q104" s="2" t="str">
        <f t="shared" si="29"/>
        <v>FLG_GUANTI,</v>
      </c>
      <c r="R104" s="2" t="str">
        <f t="shared" si="30"/>
        <v>public static final String  FLG_GUANTI = "FLG_GUANTI";</v>
      </c>
      <c r="S104" s="2" t="str">
        <f t="shared" si="33"/>
        <v/>
      </c>
      <c r="T104" s="2" t="str">
        <f t="shared" si="34"/>
        <v/>
      </c>
      <c r="V104" s="2" t="str">
        <f t="shared" si="35"/>
        <v>$('#FLG_GUANTI').val($('#FLG_GUANTI').is(':checked'));</v>
      </c>
      <c r="W104" s="2" t="str">
        <f t="shared" si="36"/>
        <v>$('#FLG_GUANTI').prop('checked','&lt;#if FLG_GUANTI?exists &amp;&amp; FLG_GUANTI!=''&gt;${FLG_GUANTI}&lt;#else&gt;true&lt;/#if&gt;'==='true')</v>
      </c>
      <c r="X104" s="2" t="str">
        <f t="shared" si="37"/>
        <v>addNoStringField(FLG_GUANTI, Boolean.class);</v>
      </c>
    </row>
    <row r="105" spans="1:24" s="2" customFormat="1" x14ac:dyDescent="0.25">
      <c r="A105" s="3" t="s">
        <v>107</v>
      </c>
      <c r="B105" t="str">
        <f t="shared" si="26"/>
        <v>,"Occhiali"</v>
      </c>
      <c r="C105" s="3"/>
      <c r="D105" s="3" t="s">
        <v>396</v>
      </c>
      <c r="E105" s="2" t="s">
        <v>87</v>
      </c>
      <c r="F105" s="2" t="s">
        <v>88</v>
      </c>
      <c r="G105" s="2" t="s">
        <v>104</v>
      </c>
      <c r="K105" s="2" t="str">
        <f t="shared" si="27"/>
        <v xml:space="preserve">boolean DEFAULT false,   </v>
      </c>
      <c r="L105" s="2" t="s">
        <v>402</v>
      </c>
      <c r="M105" s="2" t="str">
        <f t="shared" si="31"/>
        <v>FLG_OCCHIALI</v>
      </c>
      <c r="N105" s="6" t="s">
        <v>331</v>
      </c>
      <c r="O105" s="2" t="str">
        <f t="shared" si="32"/>
        <v>ALTER TABLE TEMP_PDL RENAME "Occhiali" TO FLG_OCCHIALI;</v>
      </c>
      <c r="P105" s="2" t="str">
        <f t="shared" si="28"/>
        <v>ALTER TABLE PDL ADD COLUMN FLG_OCCHIALI boolean DEFAULT false   ;</v>
      </c>
      <c r="Q105" s="2" t="str">
        <f t="shared" si="29"/>
        <v>FLG_OCCHIALI,</v>
      </c>
      <c r="R105" s="2" t="str">
        <f t="shared" si="30"/>
        <v>public static final String  FLG_OCCHIALI = "FLG_OCCHIALI";</v>
      </c>
      <c r="S105" s="2" t="str">
        <f t="shared" si="33"/>
        <v/>
      </c>
      <c r="T105" s="2" t="str">
        <f t="shared" si="34"/>
        <v/>
      </c>
      <c r="V105" s="2" t="str">
        <f t="shared" si="35"/>
        <v>$('#FLG_OCCHIALI').val($('#FLG_OCCHIALI').is(':checked'));</v>
      </c>
      <c r="W105" s="2" t="str">
        <f t="shared" si="36"/>
        <v>$('#FLG_OCCHIALI').prop('checked','&lt;#if FLG_OCCHIALI?exists &amp;&amp; FLG_OCCHIALI!=''&gt;${FLG_OCCHIALI}&lt;#else&gt;true&lt;/#if&gt;'==='true')</v>
      </c>
      <c r="X105" s="2" t="str">
        <f t="shared" si="37"/>
        <v>addNoStringField(FLG_OCCHIALI, Boolean.class);</v>
      </c>
    </row>
    <row r="106" spans="1:24" s="2" customFormat="1" x14ac:dyDescent="0.25">
      <c r="A106" s="3" t="s">
        <v>108</v>
      </c>
      <c r="B106" t="str">
        <f t="shared" si="26"/>
        <v>,"Elmetto"</v>
      </c>
      <c r="C106" s="3"/>
      <c r="D106" s="3" t="s">
        <v>396</v>
      </c>
      <c r="E106" s="2" t="s">
        <v>87</v>
      </c>
      <c r="F106" s="2" t="s">
        <v>88</v>
      </c>
      <c r="G106" s="2" t="s">
        <v>104</v>
      </c>
      <c r="K106" s="2" t="str">
        <f t="shared" si="27"/>
        <v xml:space="preserve">boolean DEFAULT false,   </v>
      </c>
      <c r="L106" s="2" t="s">
        <v>402</v>
      </c>
      <c r="M106" s="2" t="str">
        <f t="shared" si="31"/>
        <v>FLG_ELMETTO</v>
      </c>
      <c r="N106" s="6" t="s">
        <v>332</v>
      </c>
      <c r="O106" s="2" t="str">
        <f t="shared" si="32"/>
        <v>ALTER TABLE TEMP_PDL RENAME "Elmetto" TO FLG_ELMETTO;</v>
      </c>
      <c r="P106" s="2" t="str">
        <f t="shared" si="28"/>
        <v>ALTER TABLE PDL ADD COLUMN FLG_ELMETTO boolean DEFAULT false   ;</v>
      </c>
      <c r="Q106" s="2" t="str">
        <f t="shared" si="29"/>
        <v>FLG_ELMETTO,</v>
      </c>
      <c r="R106" s="2" t="str">
        <f t="shared" si="30"/>
        <v>public static final String  FLG_ELMETTO = "FLG_ELMETTO";</v>
      </c>
      <c r="S106" s="2" t="str">
        <f t="shared" si="33"/>
        <v/>
      </c>
      <c r="T106" s="2" t="str">
        <f t="shared" si="34"/>
        <v/>
      </c>
      <c r="V106" s="2" t="str">
        <f t="shared" si="35"/>
        <v>$('#FLG_ELMETTO').val($('#FLG_ELMETTO').is(':checked'));</v>
      </c>
      <c r="W106" s="2" t="str">
        <f t="shared" si="36"/>
        <v>$('#FLG_ELMETTO').prop('checked','&lt;#if FLG_ELMETTO?exists &amp;&amp; FLG_ELMETTO!=''&gt;${FLG_ELMETTO}&lt;#else&gt;true&lt;/#if&gt;'==='true')</v>
      </c>
      <c r="X106" s="2" t="str">
        <f t="shared" si="37"/>
        <v>addNoStringField(FLG_ELMETTO, Boolean.class);</v>
      </c>
    </row>
    <row r="107" spans="1:24" s="2" customFormat="1" x14ac:dyDescent="0.25">
      <c r="A107" s="3" t="s">
        <v>109</v>
      </c>
      <c r="B107" t="str">
        <f t="shared" si="26"/>
        <v>,"Maschera antipolvere"</v>
      </c>
      <c r="C107" s="3"/>
      <c r="D107" s="3" t="s">
        <v>396</v>
      </c>
      <c r="E107" s="2" t="s">
        <v>8</v>
      </c>
      <c r="K107" s="2" t="str">
        <f t="shared" si="27"/>
        <v xml:space="preserve">boolean,     </v>
      </c>
      <c r="L107" s="2" t="s">
        <v>398</v>
      </c>
      <c r="M107" s="2" t="str">
        <f t="shared" si="31"/>
        <v>FLG_MASCHERA_ANTIPOLVERE</v>
      </c>
      <c r="N107" s="6" t="s">
        <v>333</v>
      </c>
      <c r="O107" s="2" t="str">
        <f t="shared" si="32"/>
        <v>ALTER TABLE TEMP_PDL RENAME "Maschera antipolvere" TO FLG_MASCHERA_ANTIPOLVERE;</v>
      </c>
      <c r="P107" s="2" t="str">
        <f t="shared" si="28"/>
        <v>ALTER TABLE PDL ADD COLUMN FLG_MASCHERA_ANTIPOLVERE boolean     ;</v>
      </c>
      <c r="Q107" s="2" t="str">
        <f t="shared" si="29"/>
        <v>FLG_MASCHERA_ANTIPOLVERE,</v>
      </c>
      <c r="R107" s="2" t="str">
        <f t="shared" si="30"/>
        <v>public static final String  FLG_MASCHERA_ANTIPOLVERE = "FLG_MASCHERA_ANTIPOLVERE";</v>
      </c>
      <c r="S107" s="2" t="str">
        <f t="shared" si="33"/>
        <v/>
      </c>
      <c r="T107" s="2" t="str">
        <f t="shared" si="34"/>
        <v/>
      </c>
      <c r="V107" s="2" t="str">
        <f t="shared" si="35"/>
        <v>$('#FLG_MASCHERA_ANTIPOLVERE').val($('#FLG_MASCHERA_ANTIPOLVERE').is(':checked'));</v>
      </c>
      <c r="W107" s="2" t="str">
        <f t="shared" si="36"/>
        <v>$('#FLG_MASCHERA_ANTIPOLVERE').prop('checked','&lt;#if FLG_MASCHERA_ANTIPOLVERE?exists &amp;&amp; FLG_MASCHERA_ANTIPOLVERE!=''&gt;${FLG_MASCHERA_ANTIPOLVERE}&lt;#else&gt;true&lt;/#if&gt;'==='true')</v>
      </c>
      <c r="X107" s="2" t="str">
        <f t="shared" si="37"/>
        <v>addNoStringField(FLG_MASCHERA_ANTIPOLVERE, Boolean.class);</v>
      </c>
    </row>
    <row r="108" spans="1:24" s="2" customFormat="1" x14ac:dyDescent="0.25">
      <c r="A108" s="3" t="s">
        <v>110</v>
      </c>
      <c r="B108" t="str">
        <f t="shared" si="26"/>
        <v>,"Maschera antigas"</v>
      </c>
      <c r="C108" s="3"/>
      <c r="D108" s="3" t="s">
        <v>396</v>
      </c>
      <c r="E108" s="2" t="s">
        <v>8</v>
      </c>
      <c r="K108" s="2" t="str">
        <f t="shared" si="27"/>
        <v xml:space="preserve">boolean,     </v>
      </c>
      <c r="L108" s="2" t="s">
        <v>398</v>
      </c>
      <c r="M108" s="2" t="str">
        <f t="shared" si="31"/>
        <v>FLG_MASCHERA_ANTIGAS</v>
      </c>
      <c r="N108" s="6" t="s">
        <v>334</v>
      </c>
      <c r="O108" s="2" t="str">
        <f t="shared" si="32"/>
        <v>ALTER TABLE TEMP_PDL RENAME "Maschera antigas" TO FLG_MASCHERA_ANTIGAS;</v>
      </c>
      <c r="P108" s="2" t="str">
        <f t="shared" si="28"/>
        <v>ALTER TABLE PDL ADD COLUMN FLG_MASCHERA_ANTIGAS boolean     ;</v>
      </c>
      <c r="Q108" s="2" t="str">
        <f t="shared" si="29"/>
        <v>FLG_MASCHERA_ANTIGAS,</v>
      </c>
      <c r="R108" s="2" t="str">
        <f t="shared" si="30"/>
        <v>public static final String  FLG_MASCHERA_ANTIGAS = "FLG_MASCHERA_ANTIGAS";</v>
      </c>
      <c r="S108" s="2" t="str">
        <f t="shared" si="33"/>
        <v/>
      </c>
      <c r="T108" s="2" t="str">
        <f t="shared" si="34"/>
        <v/>
      </c>
      <c r="V108" s="2" t="str">
        <f t="shared" si="35"/>
        <v>$('#FLG_MASCHERA_ANTIGAS').val($('#FLG_MASCHERA_ANTIGAS').is(':checked'));</v>
      </c>
      <c r="W108" s="2" t="str">
        <f t="shared" si="36"/>
        <v>$('#FLG_MASCHERA_ANTIGAS').prop('checked','&lt;#if FLG_MASCHERA_ANTIGAS?exists &amp;&amp; FLG_MASCHERA_ANTIGAS!=''&gt;${FLG_MASCHERA_ANTIGAS}&lt;#else&gt;true&lt;/#if&gt;'==='true')</v>
      </c>
      <c r="X108" s="2" t="str">
        <f t="shared" si="37"/>
        <v>addNoStringField(FLG_MASCHERA_ANTIGAS, Boolean.class);</v>
      </c>
    </row>
    <row r="109" spans="1:24" s="2" customFormat="1" x14ac:dyDescent="0.25">
      <c r="A109" s="3" t="s">
        <v>111</v>
      </c>
      <c r="B109" t="str">
        <f t="shared" si="26"/>
        <v>,"Autorespiratore"</v>
      </c>
      <c r="C109" s="3"/>
      <c r="D109" s="3" t="s">
        <v>396</v>
      </c>
      <c r="E109" s="2" t="s">
        <v>8</v>
      </c>
      <c r="K109" s="2" t="str">
        <f t="shared" si="27"/>
        <v xml:space="preserve">boolean,     </v>
      </c>
      <c r="L109" s="2" t="s">
        <v>398</v>
      </c>
      <c r="M109" s="2" t="str">
        <f t="shared" si="31"/>
        <v>FLG_AUTORESPIRATORE</v>
      </c>
      <c r="N109" s="6" t="s">
        <v>335</v>
      </c>
      <c r="O109" s="2" t="str">
        <f t="shared" si="32"/>
        <v>ALTER TABLE TEMP_PDL RENAME "Autorespiratore" TO FLG_AUTORESPIRATORE;</v>
      </c>
      <c r="P109" s="2" t="str">
        <f t="shared" si="28"/>
        <v>ALTER TABLE PDL ADD COLUMN FLG_AUTORESPIRATORE boolean     ;</v>
      </c>
      <c r="Q109" s="2" t="str">
        <f t="shared" si="29"/>
        <v>FLG_AUTORESPIRATORE,</v>
      </c>
      <c r="R109" s="2" t="str">
        <f t="shared" si="30"/>
        <v>public static final String  FLG_AUTORESPIRATORE = "FLG_AUTORESPIRATORE";</v>
      </c>
      <c r="S109" s="2" t="str">
        <f t="shared" si="33"/>
        <v/>
      </c>
      <c r="T109" s="2" t="str">
        <f t="shared" si="34"/>
        <v/>
      </c>
      <c r="V109" s="2" t="str">
        <f t="shared" si="35"/>
        <v>$('#FLG_AUTORESPIRATORE').val($('#FLG_AUTORESPIRATORE').is(':checked'));</v>
      </c>
      <c r="W109" s="2" t="str">
        <f t="shared" si="36"/>
        <v>$('#FLG_AUTORESPIRATORE').prop('checked','&lt;#if FLG_AUTORESPIRATORE?exists &amp;&amp; FLG_AUTORESPIRATORE!=''&gt;${FLG_AUTORESPIRATORE}&lt;#else&gt;true&lt;/#if&gt;'==='true')</v>
      </c>
      <c r="X109" s="2" t="str">
        <f t="shared" si="37"/>
        <v>addNoStringField(FLG_AUTORESPIRATORE, Boolean.class);</v>
      </c>
    </row>
    <row r="110" spans="1:24" s="2" customFormat="1" x14ac:dyDescent="0.25">
      <c r="A110" s="3" t="s">
        <v>112</v>
      </c>
      <c r="B110" t="str">
        <f t="shared" si="26"/>
        <v>,"Visiera di protezione"</v>
      </c>
      <c r="C110" s="3"/>
      <c r="D110" s="3" t="s">
        <v>396</v>
      </c>
      <c r="E110" s="2" t="s">
        <v>8</v>
      </c>
      <c r="K110" s="2" t="str">
        <f t="shared" si="27"/>
        <v xml:space="preserve">boolean,     </v>
      </c>
      <c r="L110" s="2" t="s">
        <v>398</v>
      </c>
      <c r="M110" s="2" t="str">
        <f t="shared" si="31"/>
        <v>FLG_VISIERA_DI_PROTEZIONE</v>
      </c>
      <c r="N110" s="6" t="s">
        <v>336</v>
      </c>
      <c r="O110" s="2" t="str">
        <f t="shared" si="32"/>
        <v>ALTER TABLE TEMP_PDL RENAME "Visiera di protezione" TO FLG_VISIERA_DI_PROTEZIONE;</v>
      </c>
      <c r="P110" s="2" t="str">
        <f t="shared" si="28"/>
        <v>ALTER TABLE PDL ADD COLUMN FLG_VISIERA_DI_PROTEZIONE boolean     ;</v>
      </c>
      <c r="Q110" s="2" t="str">
        <f t="shared" si="29"/>
        <v>FLG_VISIERA_DI_PROTEZIONE,</v>
      </c>
      <c r="R110" s="2" t="str">
        <f t="shared" si="30"/>
        <v>public static final String  FLG_VISIERA_DI_PROTEZIONE = "FLG_VISIERA_DI_PROTEZIONE";</v>
      </c>
      <c r="S110" s="2" t="str">
        <f t="shared" si="33"/>
        <v/>
      </c>
      <c r="T110" s="2" t="str">
        <f t="shared" si="34"/>
        <v/>
      </c>
      <c r="V110" s="2" t="str">
        <f t="shared" si="35"/>
        <v>$('#FLG_VISIERA_DI_PROTEZIONE').val($('#FLG_VISIERA_DI_PROTEZIONE').is(':checked'));</v>
      </c>
      <c r="W110" s="2" t="str">
        <f t="shared" si="36"/>
        <v>$('#FLG_VISIERA_DI_PROTEZIONE').prop('checked','&lt;#if FLG_VISIERA_DI_PROTEZIONE?exists &amp;&amp; FLG_VISIERA_DI_PROTEZIONE!=''&gt;${FLG_VISIERA_DI_PROTEZIONE}&lt;#else&gt;true&lt;/#if&gt;'==='true')</v>
      </c>
      <c r="X110" s="2" t="str">
        <f t="shared" si="37"/>
        <v>addNoStringField(FLG_VISIERA_DI_PROTEZIONE, Boolean.class);</v>
      </c>
    </row>
    <row r="111" spans="1:24" s="2" customFormat="1" x14ac:dyDescent="0.25">
      <c r="A111" s="3" t="s">
        <v>113</v>
      </c>
      <c r="B111" t="str">
        <f t="shared" si="26"/>
        <v>,"Protezioni auricolari"</v>
      </c>
      <c r="C111" s="3"/>
      <c r="D111" s="3" t="s">
        <v>396</v>
      </c>
      <c r="E111" s="2" t="s">
        <v>8</v>
      </c>
      <c r="K111" s="2" t="str">
        <f t="shared" si="27"/>
        <v xml:space="preserve">boolean,     </v>
      </c>
      <c r="L111" s="2" t="s">
        <v>398</v>
      </c>
      <c r="M111" s="2" t="str">
        <f t="shared" si="31"/>
        <v>FLG_PROTEZIONI_AURICOLARI</v>
      </c>
      <c r="N111" s="6" t="s">
        <v>337</v>
      </c>
      <c r="O111" s="2" t="str">
        <f t="shared" si="32"/>
        <v>ALTER TABLE TEMP_PDL RENAME "Protezioni auricolari" TO FLG_PROTEZIONI_AURICOLARI;</v>
      </c>
      <c r="P111" s="2" t="str">
        <f t="shared" si="28"/>
        <v>ALTER TABLE PDL ADD COLUMN FLG_PROTEZIONI_AURICOLARI boolean     ;</v>
      </c>
      <c r="Q111" s="2" t="str">
        <f t="shared" si="29"/>
        <v>FLG_PROTEZIONI_AURICOLARI,</v>
      </c>
      <c r="R111" s="2" t="str">
        <f t="shared" si="30"/>
        <v>public static final String  FLG_PROTEZIONI_AURICOLARI = "FLG_PROTEZIONI_AURICOLARI";</v>
      </c>
      <c r="S111" s="2" t="str">
        <f t="shared" si="33"/>
        <v/>
      </c>
      <c r="T111" s="2" t="str">
        <f t="shared" si="34"/>
        <v/>
      </c>
      <c r="V111" s="2" t="str">
        <f t="shared" si="35"/>
        <v>$('#FLG_PROTEZIONI_AURICOLARI').val($('#FLG_PROTEZIONI_AURICOLARI').is(':checked'));</v>
      </c>
      <c r="W111" s="2" t="str">
        <f t="shared" si="36"/>
        <v>$('#FLG_PROTEZIONI_AURICOLARI').prop('checked','&lt;#if FLG_PROTEZIONI_AURICOLARI?exists &amp;&amp; FLG_PROTEZIONI_AURICOLARI!=''&gt;${FLG_PROTEZIONI_AURICOLARI}&lt;#else&gt;true&lt;/#if&gt;'==='true')</v>
      </c>
      <c r="X111" s="2" t="str">
        <f t="shared" si="37"/>
        <v>addNoStringField(FLG_PROTEZIONI_AURICOLARI, Boolean.class);</v>
      </c>
    </row>
    <row r="112" spans="1:24" s="2" customFormat="1" x14ac:dyDescent="0.25">
      <c r="A112" s="3" t="s">
        <v>114</v>
      </c>
      <c r="B112" t="str">
        <f t="shared" si="26"/>
        <v>,"Rilevatore ossigeno"</v>
      </c>
      <c r="C112" s="3"/>
      <c r="D112" s="3" t="s">
        <v>396</v>
      </c>
      <c r="E112" s="2" t="s">
        <v>8</v>
      </c>
      <c r="K112" s="2" t="str">
        <f t="shared" si="27"/>
        <v xml:space="preserve">boolean,     </v>
      </c>
      <c r="L112" s="2" t="s">
        <v>398</v>
      </c>
      <c r="M112" s="2" t="str">
        <f t="shared" si="31"/>
        <v>FLG_RILEVATORE_OSSIGENO</v>
      </c>
      <c r="N112" s="6" t="s">
        <v>338</v>
      </c>
      <c r="O112" s="2" t="str">
        <f t="shared" si="32"/>
        <v>ALTER TABLE TEMP_PDL RENAME "Rilevatore ossigeno" TO FLG_RILEVATORE_OSSIGENO;</v>
      </c>
      <c r="P112" s="2" t="str">
        <f t="shared" si="28"/>
        <v>ALTER TABLE PDL ADD COLUMN FLG_RILEVATORE_OSSIGENO boolean     ;</v>
      </c>
      <c r="Q112" s="2" t="str">
        <f t="shared" si="29"/>
        <v>FLG_RILEVATORE_OSSIGENO,</v>
      </c>
      <c r="R112" s="2" t="str">
        <f t="shared" si="30"/>
        <v>public static final String  FLG_RILEVATORE_OSSIGENO = "FLG_RILEVATORE_OSSIGENO";</v>
      </c>
      <c r="S112" s="2" t="str">
        <f t="shared" si="33"/>
        <v/>
      </c>
      <c r="T112" s="2" t="str">
        <f t="shared" si="34"/>
        <v/>
      </c>
      <c r="V112" s="2" t="str">
        <f t="shared" si="35"/>
        <v>$('#FLG_RILEVATORE_OSSIGENO').val($('#FLG_RILEVATORE_OSSIGENO').is(':checked'));</v>
      </c>
      <c r="W112" s="2" t="str">
        <f t="shared" si="36"/>
        <v>$('#FLG_RILEVATORE_OSSIGENO').prop('checked','&lt;#if FLG_RILEVATORE_OSSIGENO?exists &amp;&amp; FLG_RILEVATORE_OSSIGENO!=''&gt;${FLG_RILEVATORE_OSSIGENO}&lt;#else&gt;true&lt;/#if&gt;'==='true')</v>
      </c>
      <c r="X112" s="2" t="str">
        <f t="shared" si="37"/>
        <v>addNoStringField(FLG_RILEVATORE_OSSIGENO, Boolean.class);</v>
      </c>
    </row>
    <row r="113" spans="1:24" s="2" customFormat="1" x14ac:dyDescent="0.25">
      <c r="A113" s="3" t="s">
        <v>115</v>
      </c>
      <c r="B113" t="str">
        <f t="shared" si="26"/>
        <v>,"Esplosimetro"</v>
      </c>
      <c r="C113" s="3"/>
      <c r="D113" s="3" t="s">
        <v>396</v>
      </c>
      <c r="E113" s="2" t="s">
        <v>8</v>
      </c>
      <c r="K113" s="2" t="str">
        <f t="shared" si="27"/>
        <v xml:space="preserve">boolean,     </v>
      </c>
      <c r="L113" s="2" t="s">
        <v>398</v>
      </c>
      <c r="M113" s="2" t="str">
        <f t="shared" si="31"/>
        <v>FLG_ESPLOSIMETRO</v>
      </c>
      <c r="N113" s="6" t="s">
        <v>339</v>
      </c>
      <c r="O113" s="2" t="str">
        <f t="shared" si="32"/>
        <v>ALTER TABLE TEMP_PDL RENAME "Esplosimetro" TO FLG_ESPLOSIMETRO;</v>
      </c>
      <c r="P113" s="2" t="str">
        <f t="shared" si="28"/>
        <v>ALTER TABLE PDL ADD COLUMN FLG_ESPLOSIMETRO boolean     ;</v>
      </c>
      <c r="Q113" s="2" t="str">
        <f t="shared" si="29"/>
        <v>FLG_ESPLOSIMETRO,</v>
      </c>
      <c r="R113" s="2" t="str">
        <f t="shared" si="30"/>
        <v>public static final String  FLG_ESPLOSIMETRO = "FLG_ESPLOSIMETRO";</v>
      </c>
      <c r="S113" s="2" t="str">
        <f t="shared" si="33"/>
        <v/>
      </c>
      <c r="T113" s="2" t="str">
        <f t="shared" si="34"/>
        <v/>
      </c>
      <c r="V113" s="2" t="str">
        <f t="shared" si="35"/>
        <v>$('#FLG_ESPLOSIMETRO').val($('#FLG_ESPLOSIMETRO').is(':checked'));</v>
      </c>
      <c r="W113" s="2" t="str">
        <f t="shared" si="36"/>
        <v>$('#FLG_ESPLOSIMETRO').prop('checked','&lt;#if FLG_ESPLOSIMETRO?exists &amp;&amp; FLG_ESPLOSIMETRO!=''&gt;${FLG_ESPLOSIMETRO}&lt;#else&gt;true&lt;/#if&gt;'==='true')</v>
      </c>
      <c r="X113" s="2" t="str">
        <f t="shared" si="37"/>
        <v>addNoStringField(FLG_ESPLOSIMETRO, Boolean.class);</v>
      </c>
    </row>
    <row r="114" spans="1:24" s="2" customFormat="1" x14ac:dyDescent="0.25">
      <c r="A114" s="3" t="s">
        <v>116</v>
      </c>
      <c r="B114" t="str">
        <f t="shared" si="26"/>
        <v>,"Indumenti ignifughi speciali"</v>
      </c>
      <c r="C114" s="3"/>
      <c r="D114" s="3" t="s">
        <v>396</v>
      </c>
      <c r="E114" s="2" t="s">
        <v>8</v>
      </c>
      <c r="K114" s="2" t="str">
        <f t="shared" si="27"/>
        <v xml:space="preserve">boolean,     </v>
      </c>
      <c r="L114" s="2" t="s">
        <v>398</v>
      </c>
      <c r="M114" s="2" t="str">
        <f t="shared" si="31"/>
        <v>FLG_INDUMENTI_IGNIFUGHI_SPECIALI</v>
      </c>
      <c r="N114" s="6" t="s">
        <v>340</v>
      </c>
      <c r="O114" s="2" t="str">
        <f t="shared" si="32"/>
        <v>ALTER TABLE TEMP_PDL RENAME "Indumenti ignifughi speciali" TO FLG_INDUMENTI_IGNIFUGHI_SPECIALI;</v>
      </c>
      <c r="P114" s="2" t="str">
        <f t="shared" si="28"/>
        <v>ALTER TABLE PDL ADD COLUMN FLG_INDUMENTI_IGNIFUGHI_SPECIALI boolean     ;</v>
      </c>
      <c r="Q114" s="2" t="str">
        <f t="shared" si="29"/>
        <v>FLG_INDUMENTI_IGNIFUGHI_SPECIALI,</v>
      </c>
      <c r="R114" s="2" t="str">
        <f t="shared" si="30"/>
        <v>public static final String  FLG_INDUMENTI_IGNIFUGHI_SPECIALI = "FLG_INDUMENTI_IGNIFUGHI_SPECIALI";</v>
      </c>
      <c r="S114" s="2" t="str">
        <f t="shared" si="33"/>
        <v/>
      </c>
      <c r="T114" s="2" t="str">
        <f t="shared" si="34"/>
        <v/>
      </c>
      <c r="V114" s="2" t="str">
        <f t="shared" si="35"/>
        <v>$('#FLG_INDUMENTI_IGNIFUGHI_SPECIALI').val($('#FLG_INDUMENTI_IGNIFUGHI_SPECIALI').is(':checked'));</v>
      </c>
      <c r="W114" s="2" t="str">
        <f t="shared" si="36"/>
        <v>$('#FLG_INDUMENTI_IGNIFUGHI_SPECIALI').prop('checked','&lt;#if FLG_INDUMENTI_IGNIFUGHI_SPECIALI?exists &amp;&amp; FLG_INDUMENTI_IGNIFUGHI_SPECIALI!=''&gt;${FLG_INDUMENTI_IGNIFUGHI_SPECIALI}&lt;#else&gt;true&lt;/#if&gt;'==='true')</v>
      </c>
      <c r="X114" s="2" t="str">
        <f t="shared" si="37"/>
        <v>addNoStringField(FLG_INDUMENTI_IGNIFUGHI_SPECIALI, Boolean.class);</v>
      </c>
    </row>
    <row r="115" spans="1:24" s="2" customFormat="1" x14ac:dyDescent="0.25">
      <c r="A115" s="3" t="s">
        <v>117</v>
      </c>
      <c r="B115" t="str">
        <f t="shared" si="26"/>
        <v>,"Stivali antifortunistici"</v>
      </c>
      <c r="C115" s="3"/>
      <c r="D115" s="3" t="s">
        <v>396</v>
      </c>
      <c r="E115" s="2" t="s">
        <v>8</v>
      </c>
      <c r="K115" s="2" t="str">
        <f t="shared" si="27"/>
        <v xml:space="preserve">boolean,     </v>
      </c>
      <c r="L115" s="2" t="s">
        <v>398</v>
      </c>
      <c r="M115" s="2" t="str">
        <f t="shared" si="31"/>
        <v>FLG_STIVALI_ANTIFORTUNISTICI</v>
      </c>
      <c r="N115" s="6" t="s">
        <v>341</v>
      </c>
      <c r="O115" s="2" t="str">
        <f t="shared" si="32"/>
        <v>ALTER TABLE TEMP_PDL RENAME "Stivali antifortunistici" TO FLG_STIVALI_ANTIFORTUNISTICI;</v>
      </c>
      <c r="P115" s="2" t="str">
        <f t="shared" si="28"/>
        <v>ALTER TABLE PDL ADD COLUMN FLG_STIVALI_ANTIFORTUNISTICI boolean     ;</v>
      </c>
      <c r="Q115" s="2" t="str">
        <f t="shared" si="29"/>
        <v>FLG_STIVALI_ANTIFORTUNISTICI,</v>
      </c>
      <c r="R115" s="2" t="str">
        <f t="shared" si="30"/>
        <v>public static final String  FLG_STIVALI_ANTIFORTUNISTICI = "FLG_STIVALI_ANTIFORTUNISTICI";</v>
      </c>
      <c r="S115" s="2" t="str">
        <f t="shared" si="33"/>
        <v/>
      </c>
      <c r="T115" s="2" t="str">
        <f t="shared" si="34"/>
        <v/>
      </c>
      <c r="V115" s="2" t="str">
        <f t="shared" si="35"/>
        <v>$('#FLG_STIVALI_ANTIFORTUNISTICI').val($('#FLG_STIVALI_ANTIFORTUNISTICI').is(':checked'));</v>
      </c>
      <c r="W115" s="2" t="str">
        <f t="shared" si="36"/>
        <v>$('#FLG_STIVALI_ANTIFORTUNISTICI').prop('checked','&lt;#if FLG_STIVALI_ANTIFORTUNISTICI?exists &amp;&amp; FLG_STIVALI_ANTIFORTUNISTICI!=''&gt;${FLG_STIVALI_ANTIFORTUNISTICI}&lt;#else&gt;true&lt;/#if&gt;'==='true')</v>
      </c>
      <c r="X115" s="2" t="str">
        <f t="shared" si="37"/>
        <v>addNoStringField(FLG_STIVALI_ANTIFORTUNISTICI, Boolean.class);</v>
      </c>
    </row>
    <row r="116" spans="1:24" s="2" customFormat="1" x14ac:dyDescent="0.25">
      <c r="A116" s="3" t="s">
        <v>118</v>
      </c>
      <c r="B116" t="str">
        <f t="shared" si="26"/>
        <v>,"Imbrac/Cintura di sicurezza"</v>
      </c>
      <c r="C116" s="3"/>
      <c r="D116" s="3" t="s">
        <v>396</v>
      </c>
      <c r="E116" s="2" t="s">
        <v>8</v>
      </c>
      <c r="K116" s="2" t="str">
        <f t="shared" si="27"/>
        <v xml:space="preserve">boolean,     </v>
      </c>
      <c r="L116" s="2" t="s">
        <v>398</v>
      </c>
      <c r="M116" s="2" t="str">
        <f t="shared" si="31"/>
        <v>FLG_IMBRAC_CINTURA_DI_SICUREZZA</v>
      </c>
      <c r="N116" s="6" t="s">
        <v>342</v>
      </c>
      <c r="O116" s="2" t="str">
        <f t="shared" si="32"/>
        <v>ALTER TABLE TEMP_PDL RENAME "Imbrac/Cintura di sicurezza" TO FLG_IMBRAC_CINTURA_DI_SICUREZZA;</v>
      </c>
      <c r="P116" s="2" t="str">
        <f t="shared" si="28"/>
        <v>ALTER TABLE PDL ADD COLUMN FLG_IMBRAC_CINTURA_DI_SICUREZZA boolean     ;</v>
      </c>
      <c r="Q116" s="2" t="str">
        <f t="shared" si="29"/>
        <v>FLG_IMBRAC_CINTURA_DI_SICUREZZA,</v>
      </c>
      <c r="R116" s="2" t="str">
        <f t="shared" si="30"/>
        <v>public static final String  FLG_IMBRAC_CINTURA_DI_SICUREZZA = "FLG_IMBRAC_CINTURA_DI_SICUREZZA";</v>
      </c>
      <c r="S116" s="2" t="str">
        <f t="shared" si="33"/>
        <v/>
      </c>
      <c r="T116" s="2" t="str">
        <f t="shared" si="34"/>
        <v/>
      </c>
      <c r="V116" s="2" t="str">
        <f t="shared" si="35"/>
        <v>$('#FLG_IMBRAC_CINTURA_DI_SICUREZZA').val($('#FLG_IMBRAC_CINTURA_DI_SICUREZZA').is(':checked'));</v>
      </c>
      <c r="W116" s="2" t="str">
        <f t="shared" si="36"/>
        <v>$('#FLG_IMBRAC_CINTURA_DI_SICUREZZA').prop('checked','&lt;#if FLG_IMBRAC_CINTURA_DI_SICUREZZA?exists &amp;&amp; FLG_IMBRAC_CINTURA_DI_SICUREZZA!=''&gt;${FLG_IMBRAC_CINTURA_DI_SICUREZZA}&lt;#else&gt;true&lt;/#if&gt;'==='true')</v>
      </c>
      <c r="X116" s="2" t="str">
        <f t="shared" si="37"/>
        <v>addNoStringField(FLG_IMBRAC_CINTURA_DI_SICUREZZA, Boolean.class);</v>
      </c>
    </row>
    <row r="117" spans="1:24" s="2" customFormat="1" x14ac:dyDescent="0.25">
      <c r="A117" s="3" t="s">
        <v>119</v>
      </c>
      <c r="B117" t="str">
        <f t="shared" si="26"/>
        <v>,"Guanti protettivi per agenti chimici"</v>
      </c>
      <c r="C117" s="3"/>
      <c r="D117" s="3" t="s">
        <v>396</v>
      </c>
      <c r="E117" s="2" t="s">
        <v>8</v>
      </c>
      <c r="K117" s="2" t="str">
        <f t="shared" si="27"/>
        <v xml:space="preserve">boolean,     </v>
      </c>
      <c r="L117" s="2" t="s">
        <v>398</v>
      </c>
      <c r="M117" s="2" t="str">
        <f t="shared" si="31"/>
        <v>FLG_GUANTI_PROTETTIVI_PER_AGENTI_CHIMICI</v>
      </c>
      <c r="N117" s="6" t="s">
        <v>343</v>
      </c>
      <c r="O117" s="2" t="str">
        <f t="shared" si="32"/>
        <v>ALTER TABLE TEMP_PDL RENAME "Guanti protettivi per agenti chimici" TO FLG_GUANTI_PROTETTIVI_PER_AGENTI_CHIMICI;</v>
      </c>
      <c r="P117" s="2" t="str">
        <f t="shared" si="28"/>
        <v>ALTER TABLE PDL ADD COLUMN FLG_GUANTI_PROTETTIVI_PER_AGENTI_CHIMICI boolean     ;</v>
      </c>
      <c r="Q117" s="2" t="str">
        <f t="shared" si="29"/>
        <v>FLG_GUANTI_PROTETTIVI_PER_AGENTI_CHIMICI,</v>
      </c>
      <c r="R117" s="2" t="str">
        <f t="shared" si="30"/>
        <v>public static final String  FLG_GUANTI_PROTETTIVI_PER_AGENTI_CHIMICI = "FLG_GUANTI_PROTETTIVI_PER_AGENTI_CHIMICI";</v>
      </c>
      <c r="S117" s="2" t="str">
        <f t="shared" si="33"/>
        <v/>
      </c>
      <c r="T117" s="2" t="str">
        <f t="shared" si="34"/>
        <v/>
      </c>
      <c r="V117" s="2" t="str">
        <f t="shared" si="35"/>
        <v>$('#FLG_GUANTI_PROTETTIVI_PER_AGENTI_CHIMICI').val($('#FLG_GUANTI_PROTETTIVI_PER_AGENTI_CHIMICI').is(':checked'));</v>
      </c>
      <c r="W117" s="2" t="str">
        <f t="shared" si="36"/>
        <v>$('#FLG_GUANTI_PROTETTIVI_PER_AGENTI_CHIMICI').prop('checked','&lt;#if FLG_GUANTI_PROTETTIVI_PER_AGENTI_CHIMICI?exists &amp;&amp; FLG_GUANTI_PROTETTIVI_PER_AGENTI_CHIMICI!=''&gt;${FLG_GUANTI_PROTETTIVI_PER_AGENTI_CHIMICI}&lt;#else&gt;true&lt;/#if&gt;'==='true')</v>
      </c>
      <c r="X117" s="2" t="str">
        <f t="shared" si="37"/>
        <v>addNoStringField(FLG_GUANTI_PROTETTIVI_PER_AGENTI_CHIMICI, Boolean.class);</v>
      </c>
    </row>
    <row r="118" spans="1:24" s="2" customFormat="1" x14ac:dyDescent="0.25">
      <c r="A118" s="3" t="s">
        <v>120</v>
      </c>
      <c r="B118" t="str">
        <f t="shared" si="26"/>
        <v>,"Protezione viso e corpo per agenti chimici"</v>
      </c>
      <c r="C118" s="3"/>
      <c r="D118" s="3" t="s">
        <v>396</v>
      </c>
      <c r="E118" s="2" t="s">
        <v>8</v>
      </c>
      <c r="K118" s="2" t="str">
        <f t="shared" si="27"/>
        <v xml:space="preserve">boolean,     </v>
      </c>
      <c r="L118" s="2" t="s">
        <v>398</v>
      </c>
      <c r="M118" s="2" t="str">
        <f t="shared" si="31"/>
        <v>FLG_PROTEZIONE_VISO_E_CORPO_PER_AGENTI_CHIMICI</v>
      </c>
      <c r="N118" s="6" t="s">
        <v>344</v>
      </c>
      <c r="O118" s="2" t="str">
        <f t="shared" si="32"/>
        <v>ALTER TABLE TEMP_PDL RENAME "Protezione viso e corpo per agenti chimici" TO FLG_PROTEZIONE_VISO_E_CORPO_PER_AGENTI_CHIMICI;</v>
      </c>
      <c r="P118" s="2" t="str">
        <f t="shared" si="28"/>
        <v>ALTER TABLE PDL ADD COLUMN FLG_PROTEZIONE_VISO_E_CORPO_PER_AGENTI_CHIMICI boolean     ;</v>
      </c>
      <c r="Q118" s="2" t="str">
        <f t="shared" si="29"/>
        <v>FLG_PROTEZIONE_VISO_E_CORPO_PER_AGENTI_CHIMICI,</v>
      </c>
      <c r="R118" s="2" t="str">
        <f t="shared" si="30"/>
        <v>public static final String  FLG_PROTEZIONE_VISO_E_CORPO_PER_AGENTI_CHIMICI = "FLG_PROTEZIONE_VISO_E_CORPO_PER_AGENTI_CHIMICI";</v>
      </c>
      <c r="S118" s="2" t="str">
        <f t="shared" si="33"/>
        <v/>
      </c>
      <c r="T118" s="2" t="str">
        <f t="shared" si="34"/>
        <v/>
      </c>
      <c r="V118" s="2" t="str">
        <f t="shared" si="35"/>
        <v>$('#FLG_PROTEZIONE_VISO_E_CORPO_PER_AGENTI_CHIMICI').val($('#FLG_PROTEZIONE_VISO_E_CORPO_PER_AGENTI_CHIMICI').is(':checked'));</v>
      </c>
      <c r="W118" s="2" t="str">
        <f t="shared" si="36"/>
        <v>$('#FLG_PROTEZIONE_VISO_E_CORPO_PER_AGENTI_CHIMICI').prop('checked','&lt;#if FLG_PROTEZIONE_VISO_E_CORPO_PER_AGENTI_CHIMICI?exists &amp;&amp; FLG_PROTEZIONE_VISO_E_CORPO_PER_AGENTI_CHIMICI!=''&gt;${FLG_PROTEZIONE_VISO_E_CORPO_PER_AGENTI_CHIMICI}&lt;#else&gt;true&lt;/#if&gt;'==='true')</v>
      </c>
      <c r="X118" s="2" t="str">
        <f t="shared" si="37"/>
        <v>addNoStringField(FLG_PROTEZIONE_VISO_E_CORPO_PER_AGENTI_CHIMICI, Boolean.class);</v>
      </c>
    </row>
    <row r="119" spans="1:24" s="2" customFormat="1" x14ac:dyDescent="0.25">
      <c r="A119" s="3" t="s">
        <v>121</v>
      </c>
      <c r="B119" t="str">
        <f t="shared" si="26"/>
        <v>,"Guanti protezione per alte temperature"</v>
      </c>
      <c r="C119" s="3"/>
      <c r="D119" s="3" t="s">
        <v>396</v>
      </c>
      <c r="E119" s="2" t="s">
        <v>8</v>
      </c>
      <c r="K119" s="2" t="str">
        <f t="shared" si="27"/>
        <v xml:space="preserve">boolean,     </v>
      </c>
      <c r="L119" s="2" t="s">
        <v>398</v>
      </c>
      <c r="M119" s="2" t="str">
        <f t="shared" si="31"/>
        <v>FLG_GUANTI_PROTEZIONE_PER_ALTE_TEMPERATURE</v>
      </c>
      <c r="N119" s="6" t="s">
        <v>345</v>
      </c>
      <c r="O119" s="2" t="str">
        <f t="shared" si="32"/>
        <v>ALTER TABLE TEMP_PDL RENAME "Guanti protezione per alte temperature" TO FLG_GUANTI_PROTEZIONE_PER_ALTE_TEMPERATURE;</v>
      </c>
      <c r="P119" s="2" t="str">
        <f t="shared" si="28"/>
        <v>ALTER TABLE PDL ADD COLUMN FLG_GUANTI_PROTEZIONE_PER_ALTE_TEMPERATURE boolean     ;</v>
      </c>
      <c r="Q119" s="2" t="str">
        <f t="shared" si="29"/>
        <v>FLG_GUANTI_PROTEZIONE_PER_ALTE_TEMPERATURE,</v>
      </c>
      <c r="R119" s="2" t="str">
        <f t="shared" si="30"/>
        <v>public static final String  FLG_GUANTI_PROTEZIONE_PER_ALTE_TEMPERATURE = "FLG_GUANTI_PROTEZIONE_PER_ALTE_TEMPERATURE";</v>
      </c>
      <c r="S119" s="2" t="str">
        <f t="shared" si="33"/>
        <v/>
      </c>
      <c r="T119" s="2" t="str">
        <f t="shared" si="34"/>
        <v/>
      </c>
      <c r="V119" s="2" t="str">
        <f t="shared" si="35"/>
        <v>$('#FLG_GUANTI_PROTEZIONE_PER_ALTE_TEMPERATURE').val($('#FLG_GUANTI_PROTEZIONE_PER_ALTE_TEMPERATURE').is(':checked'));</v>
      </c>
      <c r="W119" s="2" t="str">
        <f t="shared" si="36"/>
        <v>$('#FLG_GUANTI_PROTEZIONE_PER_ALTE_TEMPERATURE').prop('checked','&lt;#if FLG_GUANTI_PROTEZIONE_PER_ALTE_TEMPERATURE?exists &amp;&amp; FLG_GUANTI_PROTEZIONE_PER_ALTE_TEMPERATURE!=''&gt;${FLG_GUANTI_PROTEZIONE_PER_ALTE_TEMPERATURE}&lt;#else&gt;true&lt;/#if&gt;'==='true')</v>
      </c>
      <c r="X119" s="2" t="str">
        <f t="shared" si="37"/>
        <v>addNoStringField(FLG_GUANTI_PROTEZIONE_PER_ALTE_TEMPERATURE, Boolean.class);</v>
      </c>
    </row>
    <row r="120" spans="1:24" s="2" customFormat="1" x14ac:dyDescent="0.25">
      <c r="A120" s="3" t="s">
        <v>122</v>
      </c>
      <c r="B120" t="str">
        <f t="shared" si="26"/>
        <v>,"Guanti criogenici"</v>
      </c>
      <c r="C120" s="3"/>
      <c r="D120" s="3" t="s">
        <v>396</v>
      </c>
      <c r="E120" s="2" t="s">
        <v>8</v>
      </c>
      <c r="K120" s="2" t="str">
        <f t="shared" si="27"/>
        <v xml:space="preserve">boolean,     </v>
      </c>
      <c r="L120" s="2" t="s">
        <v>398</v>
      </c>
      <c r="M120" s="2" t="str">
        <f t="shared" si="31"/>
        <v>FLG_GUANTI_CRIOGENICI</v>
      </c>
      <c r="N120" s="6" t="s">
        <v>346</v>
      </c>
      <c r="O120" s="2" t="str">
        <f t="shared" si="32"/>
        <v>ALTER TABLE TEMP_PDL RENAME "Guanti criogenici" TO FLG_GUANTI_CRIOGENICI;</v>
      </c>
      <c r="P120" s="2" t="str">
        <f t="shared" si="28"/>
        <v>ALTER TABLE PDL ADD COLUMN FLG_GUANTI_CRIOGENICI boolean     ;</v>
      </c>
      <c r="Q120" s="2" t="str">
        <f t="shared" si="29"/>
        <v>FLG_GUANTI_CRIOGENICI,</v>
      </c>
      <c r="R120" s="2" t="str">
        <f t="shared" si="30"/>
        <v>public static final String  FLG_GUANTI_CRIOGENICI = "FLG_GUANTI_CRIOGENICI";</v>
      </c>
      <c r="S120" s="2" t="str">
        <f t="shared" si="33"/>
        <v/>
      </c>
      <c r="T120" s="2" t="str">
        <f t="shared" si="34"/>
        <v/>
      </c>
      <c r="V120" s="2" t="str">
        <f t="shared" si="35"/>
        <v>$('#FLG_GUANTI_CRIOGENICI').val($('#FLG_GUANTI_CRIOGENICI').is(':checked'));</v>
      </c>
      <c r="W120" s="2" t="str">
        <f t="shared" si="36"/>
        <v>$('#FLG_GUANTI_CRIOGENICI').prop('checked','&lt;#if FLG_GUANTI_CRIOGENICI?exists &amp;&amp; FLG_GUANTI_CRIOGENICI!=''&gt;${FLG_GUANTI_CRIOGENICI}&lt;#else&gt;true&lt;/#if&gt;'==='true')</v>
      </c>
      <c r="X120" s="2" t="str">
        <f t="shared" si="37"/>
        <v>addNoStringField(FLG_GUANTI_CRIOGENICI, Boolean.class);</v>
      </c>
    </row>
    <row r="121" spans="1:24" s="2" customFormat="1" x14ac:dyDescent="0.25">
      <c r="A121" s="3" t="s">
        <v>123</v>
      </c>
      <c r="B121" t="str">
        <f t="shared" si="26"/>
        <v>,"Guanti dielettrici"</v>
      </c>
      <c r="C121" s="3"/>
      <c r="D121" s="3" t="s">
        <v>396</v>
      </c>
      <c r="E121" s="2" t="s">
        <v>8</v>
      </c>
      <c r="K121" s="2" t="str">
        <f t="shared" si="27"/>
        <v xml:space="preserve">boolean,     </v>
      </c>
      <c r="L121" s="2" t="s">
        <v>398</v>
      </c>
      <c r="M121" s="2" t="str">
        <f t="shared" si="31"/>
        <v>FLG_GUANTI_DIELETTRICI</v>
      </c>
      <c r="N121" s="6" t="s">
        <v>347</v>
      </c>
      <c r="O121" s="2" t="str">
        <f t="shared" si="32"/>
        <v>ALTER TABLE TEMP_PDL RENAME "Guanti dielettrici" TO FLG_GUANTI_DIELETTRICI;</v>
      </c>
      <c r="P121" s="2" t="str">
        <f t="shared" si="28"/>
        <v>ALTER TABLE PDL ADD COLUMN FLG_GUANTI_DIELETTRICI boolean     ;</v>
      </c>
      <c r="Q121" s="2" t="str">
        <f t="shared" si="29"/>
        <v>FLG_GUANTI_DIELETTRICI,</v>
      </c>
      <c r="R121" s="2" t="str">
        <f t="shared" si="30"/>
        <v>public static final String  FLG_GUANTI_DIELETTRICI = "FLG_GUANTI_DIELETTRICI";</v>
      </c>
      <c r="S121" s="2" t="str">
        <f t="shared" si="33"/>
        <v/>
      </c>
      <c r="T121" s="2" t="str">
        <f t="shared" si="34"/>
        <v/>
      </c>
      <c r="V121" s="2" t="str">
        <f t="shared" si="35"/>
        <v>$('#FLG_GUANTI_DIELETTRICI').val($('#FLG_GUANTI_DIELETTRICI').is(':checked'));</v>
      </c>
      <c r="W121" s="2" t="str">
        <f t="shared" si="36"/>
        <v>$('#FLG_GUANTI_DIELETTRICI').prop('checked','&lt;#if FLG_GUANTI_DIELETTRICI?exists &amp;&amp; FLG_GUANTI_DIELETTRICI!=''&gt;${FLG_GUANTI_DIELETTRICI}&lt;#else&gt;true&lt;/#if&gt;'==='true')</v>
      </c>
      <c r="X121" s="2" t="str">
        <f t="shared" si="37"/>
        <v>addNoStringField(FLG_GUANTI_DIELETTRICI, Boolean.class);</v>
      </c>
    </row>
    <row r="122" spans="1:24" s="2" customFormat="1" x14ac:dyDescent="0.25">
      <c r="A122" s="3" t="s">
        <v>124</v>
      </c>
      <c r="B122" t="str">
        <f t="shared" si="26"/>
        <v>,"Elmetto dielettrico"</v>
      </c>
      <c r="C122" s="3"/>
      <c r="D122" s="3" t="s">
        <v>396</v>
      </c>
      <c r="E122" s="2" t="s">
        <v>8</v>
      </c>
      <c r="K122" s="2" t="str">
        <f t="shared" si="27"/>
        <v xml:space="preserve">boolean,     </v>
      </c>
      <c r="L122" s="2" t="s">
        <v>398</v>
      </c>
      <c r="M122" s="2" t="str">
        <f t="shared" si="31"/>
        <v>FLG_ELMETTO_DIELETTRICO</v>
      </c>
      <c r="N122" s="6" t="s">
        <v>348</v>
      </c>
      <c r="O122" s="2" t="str">
        <f t="shared" si="32"/>
        <v>ALTER TABLE TEMP_PDL RENAME "Elmetto dielettrico" TO FLG_ELMETTO_DIELETTRICO;</v>
      </c>
      <c r="P122" s="2" t="str">
        <f t="shared" si="28"/>
        <v>ALTER TABLE PDL ADD COLUMN FLG_ELMETTO_DIELETTRICO boolean     ;</v>
      </c>
      <c r="Q122" s="2" t="str">
        <f t="shared" si="29"/>
        <v>FLG_ELMETTO_DIELETTRICO,</v>
      </c>
      <c r="R122" s="2" t="str">
        <f t="shared" si="30"/>
        <v>public static final String  FLG_ELMETTO_DIELETTRICO = "FLG_ELMETTO_DIELETTRICO";</v>
      </c>
      <c r="S122" s="2" t="str">
        <f t="shared" si="33"/>
        <v/>
      </c>
      <c r="T122" s="2" t="str">
        <f t="shared" si="34"/>
        <v/>
      </c>
      <c r="V122" s="2" t="str">
        <f t="shared" si="35"/>
        <v>$('#FLG_ELMETTO_DIELETTRICO').val($('#FLG_ELMETTO_DIELETTRICO').is(':checked'));</v>
      </c>
      <c r="W122" s="2" t="str">
        <f t="shared" si="36"/>
        <v>$('#FLG_ELMETTO_DIELETTRICO').prop('checked','&lt;#if FLG_ELMETTO_DIELETTRICO?exists &amp;&amp; FLG_ELMETTO_DIELETTRICO!=''&gt;${FLG_ELMETTO_DIELETTRICO}&lt;#else&gt;true&lt;/#if&gt;'==='true')</v>
      </c>
      <c r="X122" s="2" t="str">
        <f t="shared" si="37"/>
        <v>addNoStringField(FLG_ELMETTO_DIELETTRICO, Boolean.class);</v>
      </c>
    </row>
    <row r="123" spans="1:24" s="2" customFormat="1" x14ac:dyDescent="0.25">
      <c r="A123" s="3" t="s">
        <v>125</v>
      </c>
      <c r="B123" t="str">
        <f t="shared" si="26"/>
        <v>,"Ulteriori prescrizioni di sicurezza da adottare"</v>
      </c>
      <c r="C123" s="3"/>
      <c r="D123" s="3" t="s">
        <v>396</v>
      </c>
      <c r="E123" s="2" t="s">
        <v>94</v>
      </c>
      <c r="K123" s="2" t="str">
        <f t="shared" si="27"/>
        <v xml:space="preserve">text,     </v>
      </c>
      <c r="L123" s="2" t="s">
        <v>401</v>
      </c>
      <c r="M123" s="2" t="str">
        <f t="shared" si="31"/>
        <v>ULTERIORI_PRESCRIZIONI_DI_SICUREZZA_DA_ADOTTARE</v>
      </c>
      <c r="N123" s="6" t="s">
        <v>225</v>
      </c>
      <c r="O123" s="2" t="str">
        <f t="shared" si="32"/>
        <v>ALTER TABLE TEMP_PDL RENAME "Ulteriori prescrizioni di sicurezza da adottare" TO ULTERIORI_PRESCRIZIONI_DI_SICUREZZA_DA_ADOTTARE;</v>
      </c>
      <c r="P123" s="2" t="str">
        <f t="shared" si="28"/>
        <v>ALTER TABLE PDL ADD COLUMN ULTERIORI_PRESCRIZIONI_DI_SICUREZZA_DA_ADOTTARE text     ;</v>
      </c>
      <c r="Q123" s="2" t="str">
        <f t="shared" si="29"/>
        <v>ULTERIORI_PRESCRIZIONI_DI_SICUREZZA_DA_ADOTTARE,</v>
      </c>
      <c r="R123" s="2" t="str">
        <f t="shared" si="30"/>
        <v>public static final String  ULTERIORI_PRESCRIZIONI_DI_SICUREZZA_DA_ADOTTARE = "ULTERIORI_PRESCRIZIONI_DI_SICUREZZA_DA_ADOTTARE";</v>
      </c>
      <c r="S123" s="2" t="str">
        <f t="shared" si="33"/>
        <v/>
      </c>
      <c r="T123" s="2" t="str">
        <f t="shared" si="34"/>
        <v>$('#ULTERIORI_PRESCRIZIONI_DI_SICUREZZA_DA_ADOTTARE').val('&lt;#if ULTERIORI_PRESCRIZIONI_DI_SICUREZZA_DA_ADOTTARE?exists&gt;${ULTERIORI_PRESCRIZIONI_DI_SICUREZZA_DA_ADOTTARE}&lt;/#if&gt;')</v>
      </c>
      <c r="V123" s="2" t="str">
        <f t="shared" si="35"/>
        <v/>
      </c>
      <c r="W123" s="2" t="str">
        <f t="shared" si="36"/>
        <v/>
      </c>
      <c r="X123" s="2" t="str">
        <f t="shared" si="37"/>
        <v/>
      </c>
    </row>
    <row r="124" spans="1:24" x14ac:dyDescent="0.25">
      <c r="A124" s="1" t="s">
        <v>126</v>
      </c>
      <c r="B124" t="str">
        <f t="shared" si="26"/>
        <v>,"Data_sez1"</v>
      </c>
      <c r="C124" s="1"/>
      <c r="D124" s="1" t="s">
        <v>396</v>
      </c>
      <c r="E124" t="s">
        <v>127</v>
      </c>
      <c r="F124" t="s">
        <v>128</v>
      </c>
      <c r="G124" t="s">
        <v>129</v>
      </c>
      <c r="H124" t="s">
        <v>130</v>
      </c>
      <c r="I124" t="s">
        <v>88</v>
      </c>
      <c r="J124" t="s">
        <v>131</v>
      </c>
      <c r="K124" t="str">
        <f t="shared" si="27"/>
        <v>timestamp without time zone DEFAULT now(),</v>
      </c>
      <c r="L124" t="s">
        <v>403</v>
      </c>
      <c r="M124" t="str">
        <f t="shared" si="31"/>
        <v>DATA_SEZ1</v>
      </c>
      <c r="N124" t="s">
        <v>226</v>
      </c>
      <c r="O124" t="str">
        <f t="shared" si="32"/>
        <v>ALTER TABLE TEMP_PDL RENAME "Data_sez1" TO DATA_SEZ1;</v>
      </c>
      <c r="P124" t="str">
        <f t="shared" si="28"/>
        <v>ALTER TABLE PDL ADD COLUMN DATA_SEZ1 timestamp without time zone DEFAULT now();</v>
      </c>
      <c r="Q124" t="str">
        <f t="shared" si="29"/>
        <v>DATA_SEZ1,</v>
      </c>
      <c r="R124" t="str">
        <f t="shared" si="30"/>
        <v>public static final String  DATA_SEZ1 = "DATA_SEZ1";</v>
      </c>
      <c r="S124" t="str">
        <f t="shared" si="33"/>
        <v>addNoStringField(DATA_SEZ1, Timestamp.class);</v>
      </c>
      <c r="T124" t="str">
        <f t="shared" si="34"/>
        <v>$('#DATA_SEZ1').val('&lt;#if DATA_SEZ1?exists&gt;${DATA_SEZ1}&lt;/#if&gt;')</v>
      </c>
      <c r="V124" t="str">
        <f t="shared" si="35"/>
        <v/>
      </c>
      <c r="W124" t="str">
        <f t="shared" si="36"/>
        <v/>
      </c>
      <c r="X124" t="str">
        <f t="shared" si="37"/>
        <v/>
      </c>
    </row>
    <row r="125" spans="1:24" s="2" customFormat="1" x14ac:dyDescent="0.25">
      <c r="A125" s="3" t="s">
        <v>132</v>
      </c>
      <c r="B125" t="str">
        <f t="shared" si="26"/>
        <v>,"Responsabile_Centrale_Delegato"</v>
      </c>
      <c r="C125" s="3"/>
      <c r="D125" s="3" t="s">
        <v>396</v>
      </c>
      <c r="E125" s="2" t="s">
        <v>0</v>
      </c>
      <c r="F125" s="2" t="s">
        <v>1</v>
      </c>
      <c r="K125" s="2" t="str">
        <f t="shared" si="27"/>
        <v xml:space="preserve">character varying(50),    </v>
      </c>
      <c r="L125" s="2" t="s">
        <v>397</v>
      </c>
      <c r="M125" s="2" t="str">
        <f t="shared" si="31"/>
        <v>RESPONSABILE_CENTRALE_DELEGATO</v>
      </c>
      <c r="N125" s="6" t="s">
        <v>227</v>
      </c>
      <c r="O125" s="2" t="str">
        <f t="shared" si="32"/>
        <v>ALTER TABLE TEMP_PDL RENAME "Responsabile_Centrale_Delegato" TO RESPONSABILE_CENTRALE_DELEGATO;</v>
      </c>
      <c r="P125" s="2" t="str">
        <f t="shared" si="28"/>
        <v>ALTER TABLE PDL ADD COLUMN RESPONSABILE_CENTRALE_DELEGATO character varying(50)    ;</v>
      </c>
      <c r="Q125" s="2" t="str">
        <f t="shared" si="29"/>
        <v>RESPONSABILE_CENTRALE_DELEGATO,</v>
      </c>
      <c r="R125" s="2" t="str">
        <f t="shared" si="30"/>
        <v>public static final String  RESPONSABILE_CENTRALE_DELEGATO = "RESPONSABILE_CENTRALE_DELEGATO";</v>
      </c>
      <c r="S125" s="2" t="str">
        <f t="shared" si="33"/>
        <v/>
      </c>
      <c r="T125" s="2" t="str">
        <f t="shared" si="34"/>
        <v>$('#RESPONSABILE_CENTRALE_DELEGATO').val('&lt;#if RESPONSABILE_CENTRALE_DELEGATO?exists&gt;${RESPONSABILE_CENTRALE_DELEGATO}&lt;/#if&gt;')</v>
      </c>
      <c r="V125" s="2" t="str">
        <f t="shared" si="35"/>
        <v/>
      </c>
      <c r="W125" s="2" t="str">
        <f t="shared" si="36"/>
        <v/>
      </c>
      <c r="X125" s="2" t="str">
        <f t="shared" si="37"/>
        <v/>
      </c>
    </row>
    <row r="126" spans="1:24" s="2" customFormat="1" x14ac:dyDescent="0.25">
      <c r="A126" s="3" t="s">
        <v>133</v>
      </c>
      <c r="B126" t="str">
        <f t="shared" si="26"/>
        <v>,"Personale_interno"</v>
      </c>
      <c r="C126" s="3"/>
      <c r="D126" s="3" t="s">
        <v>396</v>
      </c>
      <c r="E126" s="2" t="s">
        <v>8</v>
      </c>
      <c r="K126" s="2" t="str">
        <f t="shared" si="27"/>
        <v xml:space="preserve">boolean,     </v>
      </c>
      <c r="L126" s="2" t="s">
        <v>398</v>
      </c>
      <c r="M126" s="2" t="str">
        <f t="shared" si="31"/>
        <v>FLG_PERSONALE_INTERNO</v>
      </c>
      <c r="N126" s="6" t="s">
        <v>349</v>
      </c>
      <c r="O126" s="2" t="str">
        <f t="shared" si="32"/>
        <v>ALTER TABLE TEMP_PDL RENAME "Personale_interno" TO FLG_PERSONALE_INTERNO;</v>
      </c>
      <c r="P126" s="2" t="str">
        <f t="shared" si="28"/>
        <v>ALTER TABLE PDL ADD COLUMN FLG_PERSONALE_INTERNO boolean     ;</v>
      </c>
      <c r="Q126" s="2" t="str">
        <f t="shared" si="29"/>
        <v>FLG_PERSONALE_INTERNO,</v>
      </c>
      <c r="R126" s="2" t="str">
        <f t="shared" si="30"/>
        <v>public static final String  FLG_PERSONALE_INTERNO = "FLG_PERSONALE_INTERNO";</v>
      </c>
      <c r="S126" s="2" t="str">
        <f t="shared" si="33"/>
        <v/>
      </c>
      <c r="T126" s="2" t="str">
        <f t="shared" si="34"/>
        <v/>
      </c>
      <c r="U126" s="2" t="str">
        <f>IF(MID(M126,1,3)="FLG",CONCATENATE(" id='",N126,"' name='",N126,"'"),"")</f>
        <v xml:space="preserve"> id='FLG_PERSONALE_INTERNO' name='FLG_PERSONALE_INTERNO'</v>
      </c>
      <c r="V126" s="2" t="str">
        <f t="shared" si="35"/>
        <v>$('#FLG_PERSONALE_INTERNO').val($('#FLG_PERSONALE_INTERNO').is(':checked'));</v>
      </c>
      <c r="W126" s="2" t="str">
        <f t="shared" si="36"/>
        <v>$('#FLG_PERSONALE_INTERNO').prop('checked','&lt;#if FLG_PERSONALE_INTERNO?exists &amp;&amp; FLG_PERSONALE_INTERNO!=''&gt;${FLG_PERSONALE_INTERNO}&lt;#else&gt;true&lt;/#if&gt;'==='true')</v>
      </c>
      <c r="X126" s="2" t="str">
        <f t="shared" si="37"/>
        <v>addNoStringField(FLG_PERSONALE_INTERNO, Boolean.class);</v>
      </c>
    </row>
    <row r="127" spans="1:24" s="2" customFormat="1" x14ac:dyDescent="0.25">
      <c r="A127" s="3" t="s">
        <v>134</v>
      </c>
      <c r="B127" t="str">
        <f t="shared" si="26"/>
        <v>,"Personale_esterno"</v>
      </c>
      <c r="C127" s="3"/>
      <c r="D127" s="3" t="s">
        <v>396</v>
      </c>
      <c r="E127" s="2" t="s">
        <v>8</v>
      </c>
      <c r="K127" s="2" t="str">
        <f t="shared" si="27"/>
        <v xml:space="preserve">boolean,     </v>
      </c>
      <c r="L127" s="2" t="s">
        <v>398</v>
      </c>
      <c r="M127" s="2" t="str">
        <f t="shared" si="31"/>
        <v>FLG_PERSONALE_ESTERNO</v>
      </c>
      <c r="N127" s="6" t="s">
        <v>350</v>
      </c>
      <c r="O127" s="2" t="str">
        <f t="shared" si="32"/>
        <v>ALTER TABLE TEMP_PDL RENAME "Personale_esterno" TO FLG_PERSONALE_ESTERNO;</v>
      </c>
      <c r="P127" s="2" t="str">
        <f t="shared" si="28"/>
        <v>ALTER TABLE PDL ADD COLUMN FLG_PERSONALE_ESTERNO boolean     ;</v>
      </c>
      <c r="Q127" s="2" t="str">
        <f t="shared" si="29"/>
        <v>FLG_PERSONALE_ESTERNO,</v>
      </c>
      <c r="R127" s="2" t="str">
        <f t="shared" si="30"/>
        <v>public static final String  FLG_PERSONALE_ESTERNO = "FLG_PERSONALE_ESTERNO";</v>
      </c>
      <c r="S127" s="2" t="str">
        <f t="shared" si="33"/>
        <v/>
      </c>
      <c r="T127" s="2" t="str">
        <f t="shared" si="34"/>
        <v/>
      </c>
      <c r="U127" s="2" t="str">
        <f t="shared" ref="U127:U189" si="38">IF(MID(M127,1,3)="FLG",CONCATENATE(" id='",N127,"' name='",N127,"'"),"")</f>
        <v xml:space="preserve"> id='FLG_PERSONALE_ESTERNO' name='FLG_PERSONALE_ESTERNO'</v>
      </c>
      <c r="V127" s="2" t="str">
        <f t="shared" si="35"/>
        <v>$('#FLG_PERSONALE_ESTERNO').val($('#FLG_PERSONALE_ESTERNO').is(':checked'));</v>
      </c>
      <c r="W127" s="2" t="str">
        <f t="shared" si="36"/>
        <v>$('#FLG_PERSONALE_ESTERNO').prop('checked','&lt;#if FLG_PERSONALE_ESTERNO?exists &amp;&amp; FLG_PERSONALE_ESTERNO!=''&gt;${FLG_PERSONALE_ESTERNO}&lt;#else&gt;true&lt;/#if&gt;'==='true')</v>
      </c>
      <c r="X127" s="2" t="str">
        <f t="shared" si="37"/>
        <v>addNoStringField(FLG_PERSONALE_ESTERNO, Boolean.class);</v>
      </c>
    </row>
    <row r="128" spans="1:24" s="2" customFormat="1" x14ac:dyDescent="0.25">
      <c r="A128" s="3" t="s">
        <v>135</v>
      </c>
      <c r="B128" t="str">
        <f t="shared" si="26"/>
        <v>,"Impresa_Testo"</v>
      </c>
      <c r="C128" s="3"/>
      <c r="D128" s="3" t="s">
        <v>396</v>
      </c>
      <c r="E128" s="2" t="s">
        <v>0</v>
      </c>
      <c r="F128" s="2" t="s">
        <v>1</v>
      </c>
      <c r="K128" s="2" t="str">
        <f t="shared" si="27"/>
        <v xml:space="preserve">character varying(50),    </v>
      </c>
      <c r="L128" s="2" t="s">
        <v>397</v>
      </c>
      <c r="M128" s="2" t="str">
        <f t="shared" si="31"/>
        <v>IMPRESA_TESTO</v>
      </c>
      <c r="N128" s="6" t="s">
        <v>228</v>
      </c>
      <c r="O128" s="2" t="str">
        <f t="shared" si="32"/>
        <v>ALTER TABLE TEMP_PDL RENAME "Impresa_Testo" TO IMPRESA_TESTO;</v>
      </c>
      <c r="P128" s="2" t="str">
        <f t="shared" si="28"/>
        <v>ALTER TABLE PDL ADD COLUMN IMPRESA_TESTO character varying(50)    ;</v>
      </c>
      <c r="Q128" s="2" t="str">
        <f t="shared" si="29"/>
        <v>IMPRESA_TESTO,</v>
      </c>
      <c r="R128" s="2" t="str">
        <f t="shared" si="30"/>
        <v>public static final String  IMPRESA_TESTO = "IMPRESA_TESTO";</v>
      </c>
      <c r="S128" s="2" t="str">
        <f t="shared" si="33"/>
        <v/>
      </c>
      <c r="T128" s="2" t="str">
        <f t="shared" si="34"/>
        <v>$('#IMPRESA_TESTO').val('&lt;#if IMPRESA_TESTO?exists&gt;${IMPRESA_TESTO}&lt;/#if&gt;')</v>
      </c>
      <c r="U128" t="str">
        <f t="shared" si="38"/>
        <v/>
      </c>
      <c r="V128" s="2" t="str">
        <f t="shared" si="35"/>
        <v/>
      </c>
      <c r="W128" s="2" t="str">
        <f t="shared" si="36"/>
        <v/>
      </c>
      <c r="X128" s="2" t="str">
        <f t="shared" si="37"/>
        <v/>
      </c>
    </row>
    <row r="129" spans="1:24" s="2" customFormat="1" x14ac:dyDescent="0.25">
      <c r="A129" s="3" t="s">
        <v>136</v>
      </c>
      <c r="B129" t="str">
        <f t="shared" si="26"/>
        <v>,"Cassetta attrezzi"</v>
      </c>
      <c r="C129" s="3"/>
      <c r="D129" s="3" t="s">
        <v>396</v>
      </c>
      <c r="E129" s="2" t="s">
        <v>8</v>
      </c>
      <c r="K129" s="2" t="str">
        <f t="shared" si="27"/>
        <v xml:space="preserve">boolean,     </v>
      </c>
      <c r="L129" s="2" t="s">
        <v>398</v>
      </c>
      <c r="M129" s="2" t="str">
        <f t="shared" ref="M129:M160" si="39">CONCATENATE(IF(E129="boolean,","FLG_",""),IF(E129="boolean","FLG_",""),IF(C129&lt;&gt;"",C129,SUBSTITUTE(SUBSTITUTE(UPPER(SUBSTITUTE(SUBSTITUTE(SUBSTITUTE(SUBSTITUTE(SUBSTITUTE(SUBSTITUTE(SUBSTITUTE(A129,"'",""),"-","_"),"à","a"),"ù","u"),"/","_"),"°","")," ","_")),"__","_"),"__","_")))</f>
        <v>FLG_CASSETTA_ATTREZZI</v>
      </c>
      <c r="N129" s="6" t="s">
        <v>351</v>
      </c>
      <c r="O129" s="2" t="str">
        <f t="shared" ref="O129:O160" si="40">CONCATENATE("ALTER TABLE TEMP_PDL RENAME """,A129,""" TO ",N129,";")</f>
        <v>ALTER TABLE TEMP_PDL RENAME "Cassetta attrezzi" TO FLG_CASSETTA_ATTREZZI;</v>
      </c>
      <c r="P129" s="2" t="str">
        <f t="shared" si="28"/>
        <v>ALTER TABLE PDL ADD COLUMN FLG_CASSETTA_ATTREZZI boolean     ;</v>
      </c>
      <c r="Q129" s="2" t="str">
        <f t="shared" si="29"/>
        <v>FLG_CASSETTA_ATTREZZI,</v>
      </c>
      <c r="R129" s="2" t="str">
        <f t="shared" si="30"/>
        <v>public static final String  FLG_CASSETTA_ATTREZZI = "FLG_CASSETTA_ATTREZZI";</v>
      </c>
      <c r="S129" s="2" t="str">
        <f t="shared" ref="S129:S160" si="41">IF(E129="timestamp",CONCATENATE("addNoStringField(",N129,", Timestamp.class);"),"")</f>
        <v/>
      </c>
      <c r="T129" s="2" t="str">
        <f t="shared" ref="T129:T160" si="42">IF(MID(N129,1,3)="FLG","",CONCATENATE("$('#",N129,"').val('&lt;#if ",N129,"?exists&gt;${",N129,"}&lt;/#if&gt;')"))</f>
        <v/>
      </c>
      <c r="U129" s="2" t="str">
        <f t="shared" si="38"/>
        <v xml:space="preserve"> id='FLG_CASSETTA_ATTREZZI' name='FLG_CASSETTA_ATTREZZI'</v>
      </c>
      <c r="V129" s="2" t="str">
        <f t="shared" ref="V129:V160" si="43">IF(MID(M129,1,3)="FLG",CONCATENATE("$('#",N129,"').val($('#",N129,"').is(':checked'));"),"")</f>
        <v>$('#FLG_CASSETTA_ATTREZZI').val($('#FLG_CASSETTA_ATTREZZI').is(':checked'));</v>
      </c>
      <c r="W129" s="2" t="str">
        <f t="shared" ref="W129:W160" si="44">IF(MID(N129,1,3)="FLG",CONCATENATE("$('#",N129,"').prop('checked','&lt;#if ",N129,"?exists &amp;&amp; ",N129,"!=''&gt;${",N129,"}&lt;#else&gt;true&lt;/#if&gt;'==='true')"),"")</f>
        <v>$('#FLG_CASSETTA_ATTREZZI').prop('checked','&lt;#if FLG_CASSETTA_ATTREZZI?exists &amp;&amp; FLG_CASSETTA_ATTREZZI!=''&gt;${FLG_CASSETTA_ATTREZZI}&lt;#else&gt;true&lt;/#if&gt;'==='true')</v>
      </c>
      <c r="X129" s="2" t="str">
        <f t="shared" ref="X129:X160" si="45">IF(MID(Q129,1,3)="FLG",CONCATENATE("addNoStringField(",N129,", Boolean.class);"),"")</f>
        <v>addNoStringField(FLG_CASSETTA_ATTREZZI, Boolean.class);</v>
      </c>
    </row>
    <row r="130" spans="1:24" s="2" customFormat="1" x14ac:dyDescent="0.25">
      <c r="A130" s="3" t="s">
        <v>137</v>
      </c>
      <c r="B130" t="str">
        <f t="shared" ref="B130:B189" si="46">CONCATENATE(",""",A130,"""")</f>
        <v>,"Mola"</v>
      </c>
      <c r="C130" s="3"/>
      <c r="D130" s="3" t="s">
        <v>396</v>
      </c>
      <c r="E130" s="2" t="s">
        <v>8</v>
      </c>
      <c r="K130" s="2" t="str">
        <f t="shared" ref="K130:K189" si="47">CONCATENATE(E130," ",F130," ",G130," ",H130," ",I130," ",J130)</f>
        <v xml:space="preserve">boolean,     </v>
      </c>
      <c r="L130" s="2" t="s">
        <v>398</v>
      </c>
      <c r="M130" s="2" t="str">
        <f t="shared" si="39"/>
        <v>FLG_MOLA</v>
      </c>
      <c r="N130" s="6" t="s">
        <v>352</v>
      </c>
      <c r="O130" s="2" t="str">
        <f t="shared" si="40"/>
        <v>ALTER TABLE TEMP_PDL RENAME "Mola" TO FLG_MOLA;</v>
      </c>
      <c r="P130" s="2" t="str">
        <f t="shared" ref="P130:P189" si="48">IF(D130="x",CONCATENATE("ALTER TABLE PDL ADD COLUMN ",N130," ",SUBSTITUTE(L130,",",""),";"),"")</f>
        <v>ALTER TABLE PDL ADD COLUMN FLG_MOLA boolean     ;</v>
      </c>
      <c r="Q130" s="2" t="str">
        <f t="shared" ref="Q130:Q189" si="49">CONCATENATE(M130,",")</f>
        <v>FLG_MOLA,</v>
      </c>
      <c r="R130" s="2" t="str">
        <f t="shared" ref="R130:R189" si="50">CONCATENATE("public static final String  ",N130," = """,N130,""";")</f>
        <v>public static final String  FLG_MOLA = "FLG_MOLA";</v>
      </c>
      <c r="S130" s="2" t="str">
        <f t="shared" si="41"/>
        <v/>
      </c>
      <c r="T130" s="2" t="str">
        <f t="shared" si="42"/>
        <v/>
      </c>
      <c r="U130" s="2" t="str">
        <f t="shared" si="38"/>
        <v xml:space="preserve"> id='FLG_MOLA' name='FLG_MOLA'</v>
      </c>
      <c r="V130" s="2" t="str">
        <f t="shared" si="43"/>
        <v>$('#FLG_MOLA').val($('#FLG_MOLA').is(':checked'));</v>
      </c>
      <c r="W130" s="2" t="str">
        <f t="shared" si="44"/>
        <v>$('#FLG_MOLA').prop('checked','&lt;#if FLG_MOLA?exists &amp;&amp; FLG_MOLA!=''&gt;${FLG_MOLA}&lt;#else&gt;true&lt;/#if&gt;'==='true')</v>
      </c>
      <c r="X130" s="2" t="str">
        <f t="shared" si="45"/>
        <v>addNoStringField(FLG_MOLA, Boolean.class);</v>
      </c>
    </row>
    <row r="131" spans="1:24" s="2" customFormat="1" x14ac:dyDescent="0.25">
      <c r="A131" s="3" t="s">
        <v>138</v>
      </c>
      <c r="B131" t="str">
        <f t="shared" si="46"/>
        <v>,"Taglia tubi"</v>
      </c>
      <c r="C131" s="3"/>
      <c r="D131" s="3" t="s">
        <v>396</v>
      </c>
      <c r="E131" s="2" t="s">
        <v>8</v>
      </c>
      <c r="K131" s="2" t="str">
        <f t="shared" si="47"/>
        <v xml:space="preserve">boolean,     </v>
      </c>
      <c r="L131" s="2" t="s">
        <v>398</v>
      </c>
      <c r="M131" s="2" t="str">
        <f t="shared" si="39"/>
        <v>FLG_TAGLIA_TUBI</v>
      </c>
      <c r="N131" s="6" t="s">
        <v>353</v>
      </c>
      <c r="O131" s="2" t="str">
        <f t="shared" si="40"/>
        <v>ALTER TABLE TEMP_PDL RENAME "Taglia tubi" TO FLG_TAGLIA_TUBI;</v>
      </c>
      <c r="P131" s="2" t="str">
        <f t="shared" si="48"/>
        <v>ALTER TABLE PDL ADD COLUMN FLG_TAGLIA_TUBI boolean     ;</v>
      </c>
      <c r="Q131" s="2" t="str">
        <f t="shared" si="49"/>
        <v>FLG_TAGLIA_TUBI,</v>
      </c>
      <c r="R131" s="2" t="str">
        <f t="shared" si="50"/>
        <v>public static final String  FLG_TAGLIA_TUBI = "FLG_TAGLIA_TUBI";</v>
      </c>
      <c r="S131" s="2" t="str">
        <f t="shared" si="41"/>
        <v/>
      </c>
      <c r="T131" s="2" t="str">
        <f t="shared" si="42"/>
        <v/>
      </c>
      <c r="U131" s="2" t="str">
        <f t="shared" si="38"/>
        <v xml:space="preserve"> id='FLG_TAGLIA_TUBI' name='FLG_TAGLIA_TUBI'</v>
      </c>
      <c r="V131" s="2" t="str">
        <f t="shared" si="43"/>
        <v>$('#FLG_TAGLIA_TUBI').val($('#FLG_TAGLIA_TUBI').is(':checked'));</v>
      </c>
      <c r="W131" s="2" t="str">
        <f t="shared" si="44"/>
        <v>$('#FLG_TAGLIA_TUBI').prop('checked','&lt;#if FLG_TAGLIA_TUBI?exists &amp;&amp; FLG_TAGLIA_TUBI!=''&gt;${FLG_TAGLIA_TUBI}&lt;#else&gt;true&lt;/#if&gt;'==='true')</v>
      </c>
      <c r="X131" s="2" t="str">
        <f t="shared" si="45"/>
        <v>addNoStringField(FLG_TAGLIA_TUBI, Boolean.class);</v>
      </c>
    </row>
    <row r="132" spans="1:24" s="2" customFormat="1" x14ac:dyDescent="0.25">
      <c r="A132" s="3" t="s">
        <v>139</v>
      </c>
      <c r="B132" t="str">
        <f t="shared" si="46"/>
        <v>,"Elettrosaldatrice"</v>
      </c>
      <c r="C132" s="3"/>
      <c r="D132" s="3" t="s">
        <v>396</v>
      </c>
      <c r="E132" s="2" t="s">
        <v>8</v>
      </c>
      <c r="K132" s="2" t="str">
        <f t="shared" si="47"/>
        <v xml:space="preserve">boolean,     </v>
      </c>
      <c r="L132" s="2" t="s">
        <v>398</v>
      </c>
      <c r="M132" s="2" t="str">
        <f t="shared" si="39"/>
        <v>FLG_ELETTROSALDATRICE</v>
      </c>
      <c r="N132" s="6" t="s">
        <v>354</v>
      </c>
      <c r="O132" s="2" t="str">
        <f t="shared" si="40"/>
        <v>ALTER TABLE TEMP_PDL RENAME "Elettrosaldatrice" TO FLG_ELETTROSALDATRICE;</v>
      </c>
      <c r="P132" s="2" t="str">
        <f t="shared" si="48"/>
        <v>ALTER TABLE PDL ADD COLUMN FLG_ELETTROSALDATRICE boolean     ;</v>
      </c>
      <c r="Q132" s="2" t="str">
        <f t="shared" si="49"/>
        <v>FLG_ELETTROSALDATRICE,</v>
      </c>
      <c r="R132" s="2" t="str">
        <f t="shared" si="50"/>
        <v>public static final String  FLG_ELETTROSALDATRICE = "FLG_ELETTROSALDATRICE";</v>
      </c>
      <c r="S132" s="2" t="str">
        <f t="shared" si="41"/>
        <v/>
      </c>
      <c r="T132" s="2" t="str">
        <f t="shared" si="42"/>
        <v/>
      </c>
      <c r="U132" s="2" t="str">
        <f t="shared" si="38"/>
        <v xml:space="preserve"> id='FLG_ELETTROSALDATRICE' name='FLG_ELETTROSALDATRICE'</v>
      </c>
      <c r="V132" s="2" t="str">
        <f t="shared" si="43"/>
        <v>$('#FLG_ELETTROSALDATRICE').val($('#FLG_ELETTROSALDATRICE').is(':checked'));</v>
      </c>
      <c r="W132" s="2" t="str">
        <f t="shared" si="44"/>
        <v>$('#FLG_ELETTROSALDATRICE').prop('checked','&lt;#if FLG_ELETTROSALDATRICE?exists &amp;&amp; FLG_ELETTROSALDATRICE!=''&gt;${FLG_ELETTROSALDATRICE}&lt;#else&gt;true&lt;/#if&gt;'==='true')</v>
      </c>
      <c r="X132" s="2" t="str">
        <f t="shared" si="45"/>
        <v>addNoStringField(FLG_ELETTROSALDATRICE, Boolean.class);</v>
      </c>
    </row>
    <row r="133" spans="1:24" s="2" customFormat="1" x14ac:dyDescent="0.25">
      <c r="A133" s="3" t="s">
        <v>140</v>
      </c>
      <c r="B133" t="str">
        <f t="shared" si="46"/>
        <v>,"Motosaldatrice"</v>
      </c>
      <c r="C133" s="3"/>
      <c r="D133" s="3" t="s">
        <v>396</v>
      </c>
      <c r="E133" s="2" t="s">
        <v>8</v>
      </c>
      <c r="K133" s="2" t="str">
        <f t="shared" si="47"/>
        <v xml:space="preserve">boolean,     </v>
      </c>
      <c r="L133" s="2" t="s">
        <v>398</v>
      </c>
      <c r="M133" s="2" t="str">
        <f t="shared" si="39"/>
        <v>FLG_MOTOSALDATRICE</v>
      </c>
      <c r="N133" s="6" t="s">
        <v>355</v>
      </c>
      <c r="O133" s="2" t="str">
        <f t="shared" si="40"/>
        <v>ALTER TABLE TEMP_PDL RENAME "Motosaldatrice" TO FLG_MOTOSALDATRICE;</v>
      </c>
      <c r="P133" s="2" t="str">
        <f t="shared" si="48"/>
        <v>ALTER TABLE PDL ADD COLUMN FLG_MOTOSALDATRICE boolean     ;</v>
      </c>
      <c r="Q133" s="2" t="str">
        <f t="shared" si="49"/>
        <v>FLG_MOTOSALDATRICE,</v>
      </c>
      <c r="R133" s="2" t="str">
        <f t="shared" si="50"/>
        <v>public static final String  FLG_MOTOSALDATRICE = "FLG_MOTOSALDATRICE";</v>
      </c>
      <c r="S133" s="2" t="str">
        <f t="shared" si="41"/>
        <v/>
      </c>
      <c r="T133" s="2" t="str">
        <f t="shared" si="42"/>
        <v/>
      </c>
      <c r="U133" s="2" t="str">
        <f t="shared" si="38"/>
        <v xml:space="preserve"> id='FLG_MOTOSALDATRICE' name='FLG_MOTOSALDATRICE'</v>
      </c>
      <c r="V133" s="2" t="str">
        <f t="shared" si="43"/>
        <v>$('#FLG_MOTOSALDATRICE').val($('#FLG_MOTOSALDATRICE').is(':checked'));</v>
      </c>
      <c r="W133" s="2" t="str">
        <f t="shared" si="44"/>
        <v>$('#FLG_MOTOSALDATRICE').prop('checked','&lt;#if FLG_MOTOSALDATRICE?exists &amp;&amp; FLG_MOTOSALDATRICE!=''&gt;${FLG_MOTOSALDATRICE}&lt;#else&gt;true&lt;/#if&gt;'==='true')</v>
      </c>
      <c r="X133" s="2" t="str">
        <f t="shared" si="45"/>
        <v>addNoStringField(FLG_MOTOSALDATRICE, Boolean.class);</v>
      </c>
    </row>
    <row r="134" spans="1:24" s="2" customFormat="1" x14ac:dyDescent="0.25">
      <c r="A134" s="3" t="s">
        <v>141</v>
      </c>
      <c r="B134" t="str">
        <f t="shared" si="46"/>
        <v>,"Paranco"</v>
      </c>
      <c r="C134" s="3"/>
      <c r="D134" s="3" t="s">
        <v>396</v>
      </c>
      <c r="E134" s="2" t="s">
        <v>8</v>
      </c>
      <c r="K134" s="2" t="str">
        <f t="shared" si="47"/>
        <v xml:space="preserve">boolean,     </v>
      </c>
      <c r="L134" s="2" t="s">
        <v>398</v>
      </c>
      <c r="M134" s="2" t="str">
        <f t="shared" si="39"/>
        <v>FLG_PARANCO</v>
      </c>
      <c r="N134" s="6" t="s">
        <v>356</v>
      </c>
      <c r="O134" s="2" t="str">
        <f t="shared" si="40"/>
        <v>ALTER TABLE TEMP_PDL RENAME "Paranco" TO FLG_PARANCO;</v>
      </c>
      <c r="P134" s="2" t="str">
        <f t="shared" si="48"/>
        <v>ALTER TABLE PDL ADD COLUMN FLG_PARANCO boolean     ;</v>
      </c>
      <c r="Q134" s="2" t="str">
        <f t="shared" si="49"/>
        <v>FLG_PARANCO,</v>
      </c>
      <c r="R134" s="2" t="str">
        <f t="shared" si="50"/>
        <v>public static final String  FLG_PARANCO = "FLG_PARANCO";</v>
      </c>
      <c r="S134" s="2" t="str">
        <f t="shared" si="41"/>
        <v/>
      </c>
      <c r="T134" s="2" t="str">
        <f t="shared" si="42"/>
        <v/>
      </c>
      <c r="U134" s="2" t="str">
        <f t="shared" si="38"/>
        <v xml:space="preserve"> id='FLG_PARANCO' name='FLG_PARANCO'</v>
      </c>
      <c r="V134" s="2" t="str">
        <f t="shared" si="43"/>
        <v>$('#FLG_PARANCO').val($('#FLG_PARANCO').is(':checked'));</v>
      </c>
      <c r="W134" s="2" t="str">
        <f t="shared" si="44"/>
        <v>$('#FLG_PARANCO').prop('checked','&lt;#if FLG_PARANCO?exists &amp;&amp; FLG_PARANCO!=''&gt;${FLG_PARANCO}&lt;#else&gt;true&lt;/#if&gt;'==='true')</v>
      </c>
      <c r="X134" s="2" t="str">
        <f t="shared" si="45"/>
        <v>addNoStringField(FLG_PARANCO, Boolean.class);</v>
      </c>
    </row>
    <row r="135" spans="1:24" s="2" customFormat="1" x14ac:dyDescent="0.25">
      <c r="A135" s="3" t="s">
        <v>142</v>
      </c>
      <c r="B135" t="str">
        <f t="shared" si="46"/>
        <v>,"Trapano elettrico"</v>
      </c>
      <c r="C135" s="3"/>
      <c r="D135" s="3" t="s">
        <v>396</v>
      </c>
      <c r="E135" s="2" t="s">
        <v>8</v>
      </c>
      <c r="K135" s="2" t="str">
        <f t="shared" si="47"/>
        <v xml:space="preserve">boolean,     </v>
      </c>
      <c r="L135" s="2" t="s">
        <v>398</v>
      </c>
      <c r="M135" s="2" t="str">
        <f t="shared" si="39"/>
        <v>FLG_TRAPANO_ELETTRICO</v>
      </c>
      <c r="N135" s="6" t="s">
        <v>357</v>
      </c>
      <c r="O135" s="2" t="str">
        <f t="shared" si="40"/>
        <v>ALTER TABLE TEMP_PDL RENAME "Trapano elettrico" TO FLG_TRAPANO_ELETTRICO;</v>
      </c>
      <c r="P135" s="2" t="str">
        <f t="shared" si="48"/>
        <v>ALTER TABLE PDL ADD COLUMN FLG_TRAPANO_ELETTRICO boolean     ;</v>
      </c>
      <c r="Q135" s="2" t="str">
        <f t="shared" si="49"/>
        <v>FLG_TRAPANO_ELETTRICO,</v>
      </c>
      <c r="R135" s="2" t="str">
        <f t="shared" si="50"/>
        <v>public static final String  FLG_TRAPANO_ELETTRICO = "FLG_TRAPANO_ELETTRICO";</v>
      </c>
      <c r="S135" s="2" t="str">
        <f t="shared" si="41"/>
        <v/>
      </c>
      <c r="T135" s="2" t="str">
        <f t="shared" si="42"/>
        <v/>
      </c>
      <c r="U135" s="2" t="str">
        <f t="shared" si="38"/>
        <v xml:space="preserve"> id='FLG_TRAPANO_ELETTRICO' name='FLG_TRAPANO_ELETTRICO'</v>
      </c>
      <c r="V135" s="2" t="str">
        <f t="shared" si="43"/>
        <v>$('#FLG_TRAPANO_ELETTRICO').val($('#FLG_TRAPANO_ELETTRICO').is(':checked'));</v>
      </c>
      <c r="W135" s="2" t="str">
        <f t="shared" si="44"/>
        <v>$('#FLG_TRAPANO_ELETTRICO').prop('checked','&lt;#if FLG_TRAPANO_ELETTRICO?exists &amp;&amp; FLG_TRAPANO_ELETTRICO!=''&gt;${FLG_TRAPANO_ELETTRICO}&lt;#else&gt;true&lt;/#if&gt;'==='true')</v>
      </c>
      <c r="X135" s="2" t="str">
        <f t="shared" si="45"/>
        <v>addNoStringField(FLG_TRAPANO_ELETTRICO, Boolean.class);</v>
      </c>
    </row>
    <row r="136" spans="1:24" s="2" customFormat="1" x14ac:dyDescent="0.25">
      <c r="A136" s="3" t="s">
        <v>143</v>
      </c>
      <c r="B136" t="str">
        <f t="shared" si="46"/>
        <v>,"Trapano a tenuta"</v>
      </c>
      <c r="C136" s="3"/>
      <c r="D136" s="3" t="s">
        <v>396</v>
      </c>
      <c r="E136" s="2" t="s">
        <v>8</v>
      </c>
      <c r="K136" s="2" t="str">
        <f t="shared" si="47"/>
        <v xml:space="preserve">boolean,     </v>
      </c>
      <c r="L136" s="2" t="s">
        <v>398</v>
      </c>
      <c r="M136" s="2" t="str">
        <f t="shared" si="39"/>
        <v>FLG_TRAPANO_A_TENUTA</v>
      </c>
      <c r="N136" s="6" t="s">
        <v>358</v>
      </c>
      <c r="O136" s="2" t="str">
        <f t="shared" si="40"/>
        <v>ALTER TABLE TEMP_PDL RENAME "Trapano a tenuta" TO FLG_TRAPANO_A_TENUTA;</v>
      </c>
      <c r="P136" s="2" t="str">
        <f t="shared" si="48"/>
        <v>ALTER TABLE PDL ADD COLUMN FLG_TRAPANO_A_TENUTA boolean     ;</v>
      </c>
      <c r="Q136" s="2" t="str">
        <f t="shared" si="49"/>
        <v>FLG_TRAPANO_A_TENUTA,</v>
      </c>
      <c r="R136" s="2" t="str">
        <f t="shared" si="50"/>
        <v>public static final String  FLG_TRAPANO_A_TENUTA = "FLG_TRAPANO_A_TENUTA";</v>
      </c>
      <c r="S136" s="2" t="str">
        <f t="shared" si="41"/>
        <v/>
      </c>
      <c r="T136" s="2" t="str">
        <f t="shared" si="42"/>
        <v/>
      </c>
      <c r="U136" s="2" t="str">
        <f t="shared" si="38"/>
        <v xml:space="preserve"> id='FLG_TRAPANO_A_TENUTA' name='FLG_TRAPANO_A_TENUTA'</v>
      </c>
      <c r="V136" s="2" t="str">
        <f t="shared" si="43"/>
        <v>$('#FLG_TRAPANO_A_TENUTA').val($('#FLG_TRAPANO_A_TENUTA').is(':checked'));</v>
      </c>
      <c r="W136" s="2" t="str">
        <f t="shared" si="44"/>
        <v>$('#FLG_TRAPANO_A_TENUTA').prop('checked','&lt;#if FLG_TRAPANO_A_TENUTA?exists &amp;&amp; FLG_TRAPANO_A_TENUTA!=''&gt;${FLG_TRAPANO_A_TENUTA}&lt;#else&gt;true&lt;/#if&gt;'==='true')</v>
      </c>
      <c r="X136" s="2" t="str">
        <f t="shared" si="45"/>
        <v>addNoStringField(FLG_TRAPANO_A_TENUTA, Boolean.class);</v>
      </c>
    </row>
    <row r="137" spans="1:24" s="2" customFormat="1" x14ac:dyDescent="0.25">
      <c r="A137" s="3" t="s">
        <v>144</v>
      </c>
      <c r="B137" t="str">
        <f t="shared" si="46"/>
        <v>,"Sabbiatrice"</v>
      </c>
      <c r="C137" s="3"/>
      <c r="D137" s="3" t="s">
        <v>396</v>
      </c>
      <c r="E137" s="2" t="s">
        <v>8</v>
      </c>
      <c r="K137" s="2" t="str">
        <f t="shared" si="47"/>
        <v xml:space="preserve">boolean,     </v>
      </c>
      <c r="L137" s="2" t="s">
        <v>398</v>
      </c>
      <c r="M137" s="2" t="str">
        <f t="shared" si="39"/>
        <v>FLG_SABBIATRICE</v>
      </c>
      <c r="N137" s="6" t="s">
        <v>359</v>
      </c>
      <c r="O137" s="2" t="str">
        <f t="shared" si="40"/>
        <v>ALTER TABLE TEMP_PDL RENAME "Sabbiatrice" TO FLG_SABBIATRICE;</v>
      </c>
      <c r="P137" s="2" t="str">
        <f t="shared" si="48"/>
        <v>ALTER TABLE PDL ADD COLUMN FLG_SABBIATRICE boolean     ;</v>
      </c>
      <c r="Q137" s="2" t="str">
        <f t="shared" si="49"/>
        <v>FLG_SABBIATRICE,</v>
      </c>
      <c r="R137" s="2" t="str">
        <f t="shared" si="50"/>
        <v>public static final String  FLG_SABBIATRICE = "FLG_SABBIATRICE";</v>
      </c>
      <c r="S137" s="2" t="str">
        <f t="shared" si="41"/>
        <v/>
      </c>
      <c r="T137" s="2" t="str">
        <f t="shared" si="42"/>
        <v/>
      </c>
      <c r="U137" s="2" t="str">
        <f t="shared" si="38"/>
        <v xml:space="preserve"> id='FLG_SABBIATRICE' name='FLG_SABBIATRICE'</v>
      </c>
      <c r="V137" s="2" t="str">
        <f t="shared" si="43"/>
        <v>$('#FLG_SABBIATRICE').val($('#FLG_SABBIATRICE').is(':checked'));</v>
      </c>
      <c r="W137" s="2" t="str">
        <f t="shared" si="44"/>
        <v>$('#FLG_SABBIATRICE').prop('checked','&lt;#if FLG_SABBIATRICE?exists &amp;&amp; FLG_SABBIATRICE!=''&gt;${FLG_SABBIATRICE}&lt;#else&gt;true&lt;/#if&gt;'==='true')</v>
      </c>
      <c r="X137" s="2" t="str">
        <f t="shared" si="45"/>
        <v>addNoStringField(FLG_SABBIATRICE, Boolean.class);</v>
      </c>
    </row>
    <row r="138" spans="1:24" s="2" customFormat="1" x14ac:dyDescent="0.25">
      <c r="A138" s="3" t="s">
        <v>145</v>
      </c>
      <c r="B138" t="str">
        <f t="shared" si="46"/>
        <v>,"Attrezzi antiscintilla"</v>
      </c>
      <c r="C138" s="3"/>
      <c r="D138" s="3" t="s">
        <v>396</v>
      </c>
      <c r="E138" s="2" t="s">
        <v>8</v>
      </c>
      <c r="K138" s="2" t="str">
        <f t="shared" si="47"/>
        <v xml:space="preserve">boolean,     </v>
      </c>
      <c r="L138" s="2" t="s">
        <v>398</v>
      </c>
      <c r="M138" s="2" t="str">
        <f t="shared" si="39"/>
        <v>FLG_ATTREZZI_ANTISCINTILLA</v>
      </c>
      <c r="N138" s="6" t="s">
        <v>360</v>
      </c>
      <c r="O138" s="2" t="str">
        <f t="shared" si="40"/>
        <v>ALTER TABLE TEMP_PDL RENAME "Attrezzi antiscintilla" TO FLG_ATTREZZI_ANTISCINTILLA;</v>
      </c>
      <c r="P138" s="2" t="str">
        <f t="shared" si="48"/>
        <v>ALTER TABLE PDL ADD COLUMN FLG_ATTREZZI_ANTISCINTILLA boolean     ;</v>
      </c>
      <c r="Q138" s="2" t="str">
        <f t="shared" si="49"/>
        <v>FLG_ATTREZZI_ANTISCINTILLA,</v>
      </c>
      <c r="R138" s="2" t="str">
        <f t="shared" si="50"/>
        <v>public static final String  FLG_ATTREZZI_ANTISCINTILLA = "FLG_ATTREZZI_ANTISCINTILLA";</v>
      </c>
      <c r="S138" s="2" t="str">
        <f t="shared" si="41"/>
        <v/>
      </c>
      <c r="T138" s="2" t="str">
        <f t="shared" si="42"/>
        <v/>
      </c>
      <c r="U138" s="2" t="str">
        <f t="shared" si="38"/>
        <v xml:space="preserve"> id='FLG_ATTREZZI_ANTISCINTILLA' name='FLG_ATTREZZI_ANTISCINTILLA'</v>
      </c>
      <c r="V138" s="2" t="str">
        <f t="shared" si="43"/>
        <v>$('#FLG_ATTREZZI_ANTISCINTILLA').val($('#FLG_ATTREZZI_ANTISCINTILLA').is(':checked'));</v>
      </c>
      <c r="W138" s="2" t="str">
        <f t="shared" si="44"/>
        <v>$('#FLG_ATTREZZI_ANTISCINTILLA').prop('checked','&lt;#if FLG_ATTREZZI_ANTISCINTILLA?exists &amp;&amp; FLG_ATTREZZI_ANTISCINTILLA!=''&gt;${FLG_ATTREZZI_ANTISCINTILLA}&lt;#else&gt;true&lt;/#if&gt;'==='true')</v>
      </c>
      <c r="X138" s="2" t="str">
        <f t="shared" si="45"/>
        <v>addNoStringField(FLG_ATTREZZI_ANTISCINTILLA, Boolean.class);</v>
      </c>
    </row>
    <row r="139" spans="1:24" s="2" customFormat="1" x14ac:dyDescent="0.25">
      <c r="A139" s="3" t="s">
        <v>146</v>
      </c>
      <c r="B139" t="str">
        <f t="shared" si="46"/>
        <v>,"Carroponte"</v>
      </c>
      <c r="C139" s="3"/>
      <c r="D139" s="3" t="s">
        <v>396</v>
      </c>
      <c r="E139" s="2" t="s">
        <v>8</v>
      </c>
      <c r="K139" s="2" t="str">
        <f t="shared" si="47"/>
        <v xml:space="preserve">boolean,     </v>
      </c>
      <c r="L139" s="2" t="s">
        <v>398</v>
      </c>
      <c r="M139" s="2" t="str">
        <f t="shared" si="39"/>
        <v>FLG_CARROPONTE</v>
      </c>
      <c r="N139" s="6" t="s">
        <v>361</v>
      </c>
      <c r="O139" s="2" t="str">
        <f t="shared" si="40"/>
        <v>ALTER TABLE TEMP_PDL RENAME "Carroponte" TO FLG_CARROPONTE;</v>
      </c>
      <c r="P139" s="2" t="str">
        <f t="shared" si="48"/>
        <v>ALTER TABLE PDL ADD COLUMN FLG_CARROPONTE boolean     ;</v>
      </c>
      <c r="Q139" s="2" t="str">
        <f t="shared" si="49"/>
        <v>FLG_CARROPONTE,</v>
      </c>
      <c r="R139" s="2" t="str">
        <f t="shared" si="50"/>
        <v>public static final String  FLG_CARROPONTE = "FLG_CARROPONTE";</v>
      </c>
      <c r="S139" s="2" t="str">
        <f t="shared" si="41"/>
        <v/>
      </c>
      <c r="T139" s="2" t="str">
        <f t="shared" si="42"/>
        <v/>
      </c>
      <c r="U139" s="2" t="str">
        <f t="shared" si="38"/>
        <v xml:space="preserve"> id='FLG_CARROPONTE' name='FLG_CARROPONTE'</v>
      </c>
      <c r="V139" s="2" t="str">
        <f t="shared" si="43"/>
        <v>$('#FLG_CARROPONTE').val($('#FLG_CARROPONTE').is(':checked'));</v>
      </c>
      <c r="W139" s="2" t="str">
        <f t="shared" si="44"/>
        <v>$('#FLG_CARROPONTE').prop('checked','&lt;#if FLG_CARROPONTE?exists &amp;&amp; FLG_CARROPONTE!=''&gt;${FLG_CARROPONTE}&lt;#else&gt;true&lt;/#if&gt;'==='true')</v>
      </c>
      <c r="X139" s="2" t="str">
        <f t="shared" si="45"/>
        <v>addNoStringField(FLG_CARROPONTE, Boolean.class);</v>
      </c>
    </row>
    <row r="140" spans="1:24" s="2" customFormat="1" x14ac:dyDescent="0.25">
      <c r="A140" s="3" t="s">
        <v>147</v>
      </c>
      <c r="B140" t="str">
        <f t="shared" si="46"/>
        <v>,"Escavatrice"</v>
      </c>
      <c r="C140" s="3"/>
      <c r="D140" s="3" t="s">
        <v>396</v>
      </c>
      <c r="E140" s="2" t="s">
        <v>8</v>
      </c>
      <c r="K140" s="2" t="str">
        <f t="shared" si="47"/>
        <v xml:space="preserve">boolean,     </v>
      </c>
      <c r="L140" s="2" t="s">
        <v>398</v>
      </c>
      <c r="M140" s="2" t="str">
        <f t="shared" si="39"/>
        <v>FLG_ESCAVATRICE</v>
      </c>
      <c r="N140" s="6" t="s">
        <v>362</v>
      </c>
      <c r="O140" s="2" t="str">
        <f t="shared" si="40"/>
        <v>ALTER TABLE TEMP_PDL RENAME "Escavatrice" TO FLG_ESCAVATRICE;</v>
      </c>
      <c r="P140" s="2" t="str">
        <f t="shared" si="48"/>
        <v>ALTER TABLE PDL ADD COLUMN FLG_ESCAVATRICE boolean     ;</v>
      </c>
      <c r="Q140" s="2" t="str">
        <f t="shared" si="49"/>
        <v>FLG_ESCAVATRICE,</v>
      </c>
      <c r="R140" s="2" t="str">
        <f t="shared" si="50"/>
        <v>public static final String  FLG_ESCAVATRICE = "FLG_ESCAVATRICE";</v>
      </c>
      <c r="S140" s="2" t="str">
        <f t="shared" si="41"/>
        <v/>
      </c>
      <c r="T140" s="2" t="str">
        <f t="shared" si="42"/>
        <v/>
      </c>
      <c r="U140" s="2" t="str">
        <f t="shared" si="38"/>
        <v xml:space="preserve"> id='FLG_ESCAVATRICE' name='FLG_ESCAVATRICE'</v>
      </c>
      <c r="V140" s="2" t="str">
        <f t="shared" si="43"/>
        <v>$('#FLG_ESCAVATRICE').val($('#FLG_ESCAVATRICE').is(':checked'));</v>
      </c>
      <c r="W140" s="2" t="str">
        <f t="shared" si="44"/>
        <v>$('#FLG_ESCAVATRICE').prop('checked','&lt;#if FLG_ESCAVATRICE?exists &amp;&amp; FLG_ESCAVATRICE!=''&gt;${FLG_ESCAVATRICE}&lt;#else&gt;true&lt;/#if&gt;'==='true')</v>
      </c>
      <c r="X140" s="2" t="str">
        <f t="shared" si="45"/>
        <v>addNoStringField(FLG_ESCAVATRICE, Boolean.class);</v>
      </c>
    </row>
    <row r="141" spans="1:24" s="2" customFormat="1" x14ac:dyDescent="0.25">
      <c r="A141" s="3" t="s">
        <v>148</v>
      </c>
      <c r="B141" t="str">
        <f t="shared" si="46"/>
        <v>,"Lancia acqua in pressione"</v>
      </c>
      <c r="C141" s="3"/>
      <c r="D141" s="3" t="s">
        <v>396</v>
      </c>
      <c r="E141" s="2" t="s">
        <v>8</v>
      </c>
      <c r="K141" s="2" t="str">
        <f t="shared" si="47"/>
        <v xml:space="preserve">boolean,     </v>
      </c>
      <c r="L141" s="2" t="s">
        <v>398</v>
      </c>
      <c r="M141" s="2" t="str">
        <f t="shared" si="39"/>
        <v>FLG_LANCIA_ACQUA_IN_PRESSIONE</v>
      </c>
      <c r="N141" s="6" t="s">
        <v>363</v>
      </c>
      <c r="O141" s="2" t="str">
        <f t="shared" si="40"/>
        <v>ALTER TABLE TEMP_PDL RENAME "Lancia acqua in pressione" TO FLG_LANCIA_ACQUA_IN_PRESSIONE;</v>
      </c>
      <c r="P141" s="2" t="str">
        <f t="shared" si="48"/>
        <v>ALTER TABLE PDL ADD COLUMN FLG_LANCIA_ACQUA_IN_PRESSIONE boolean     ;</v>
      </c>
      <c r="Q141" s="2" t="str">
        <f t="shared" si="49"/>
        <v>FLG_LANCIA_ACQUA_IN_PRESSIONE,</v>
      </c>
      <c r="R141" s="2" t="str">
        <f t="shared" si="50"/>
        <v>public static final String  FLG_LANCIA_ACQUA_IN_PRESSIONE = "FLG_LANCIA_ACQUA_IN_PRESSIONE";</v>
      </c>
      <c r="S141" s="2" t="str">
        <f t="shared" si="41"/>
        <v/>
      </c>
      <c r="T141" s="2" t="str">
        <f t="shared" si="42"/>
        <v/>
      </c>
      <c r="U141" s="2" t="str">
        <f t="shared" si="38"/>
        <v xml:space="preserve"> id='FLG_LANCIA_ACQUA_IN_PRESSIONE' name='FLG_LANCIA_ACQUA_IN_PRESSIONE'</v>
      </c>
      <c r="V141" s="2" t="str">
        <f t="shared" si="43"/>
        <v>$('#FLG_LANCIA_ACQUA_IN_PRESSIONE').val($('#FLG_LANCIA_ACQUA_IN_PRESSIONE').is(':checked'));</v>
      </c>
      <c r="W141" s="2" t="str">
        <f t="shared" si="44"/>
        <v>$('#FLG_LANCIA_ACQUA_IN_PRESSIONE').prop('checked','&lt;#if FLG_LANCIA_ACQUA_IN_PRESSIONE?exists &amp;&amp; FLG_LANCIA_ACQUA_IN_PRESSIONE!=''&gt;${FLG_LANCIA_ACQUA_IN_PRESSIONE}&lt;#else&gt;true&lt;/#if&gt;'==='true')</v>
      </c>
      <c r="X141" s="2" t="str">
        <f t="shared" si="45"/>
        <v>addNoStringField(FLG_LANCIA_ACQUA_IN_PRESSIONE, Boolean.class);</v>
      </c>
    </row>
    <row r="142" spans="1:24" s="2" customFormat="1" x14ac:dyDescent="0.25">
      <c r="A142" s="3" t="s">
        <v>149</v>
      </c>
      <c r="B142" t="str">
        <f t="shared" si="46"/>
        <v>,"Trapano pneumatico"</v>
      </c>
      <c r="C142" s="3"/>
      <c r="D142" s="3" t="s">
        <v>396</v>
      </c>
      <c r="E142" s="2" t="s">
        <v>8</v>
      </c>
      <c r="K142" s="2" t="str">
        <f t="shared" si="47"/>
        <v xml:space="preserve">boolean,     </v>
      </c>
      <c r="L142" s="2" t="s">
        <v>398</v>
      </c>
      <c r="M142" s="2" t="str">
        <f t="shared" si="39"/>
        <v>FLG_TRAPANO_PNEUMATICO</v>
      </c>
      <c r="N142" s="6" t="s">
        <v>364</v>
      </c>
      <c r="O142" s="2" t="str">
        <f t="shared" si="40"/>
        <v>ALTER TABLE TEMP_PDL RENAME "Trapano pneumatico" TO FLG_TRAPANO_PNEUMATICO;</v>
      </c>
      <c r="P142" s="2" t="str">
        <f t="shared" si="48"/>
        <v>ALTER TABLE PDL ADD COLUMN FLG_TRAPANO_PNEUMATICO boolean     ;</v>
      </c>
      <c r="Q142" s="2" t="str">
        <f t="shared" si="49"/>
        <v>FLG_TRAPANO_PNEUMATICO,</v>
      </c>
      <c r="R142" s="2" t="str">
        <f t="shared" si="50"/>
        <v>public static final String  FLG_TRAPANO_PNEUMATICO = "FLG_TRAPANO_PNEUMATICO";</v>
      </c>
      <c r="S142" s="2" t="str">
        <f t="shared" si="41"/>
        <v/>
      </c>
      <c r="T142" s="2" t="str">
        <f t="shared" si="42"/>
        <v/>
      </c>
      <c r="U142" s="2" t="str">
        <f t="shared" si="38"/>
        <v xml:space="preserve"> id='FLG_TRAPANO_PNEUMATICO' name='FLG_TRAPANO_PNEUMATICO'</v>
      </c>
      <c r="V142" s="2" t="str">
        <f t="shared" si="43"/>
        <v>$('#FLG_TRAPANO_PNEUMATICO').val($('#FLG_TRAPANO_PNEUMATICO').is(':checked'));</v>
      </c>
      <c r="W142" s="2" t="str">
        <f t="shared" si="44"/>
        <v>$('#FLG_TRAPANO_PNEUMATICO').prop('checked','&lt;#if FLG_TRAPANO_PNEUMATICO?exists &amp;&amp; FLG_TRAPANO_PNEUMATICO!=''&gt;${FLG_TRAPANO_PNEUMATICO}&lt;#else&gt;true&lt;/#if&gt;'==='true')</v>
      </c>
      <c r="X142" s="2" t="str">
        <f t="shared" si="45"/>
        <v>addNoStringField(FLG_TRAPANO_PNEUMATICO, Boolean.class);</v>
      </c>
    </row>
    <row r="143" spans="1:24" s="2" customFormat="1" x14ac:dyDescent="0.25">
      <c r="A143" s="3" t="s">
        <v>150</v>
      </c>
      <c r="B143" t="str">
        <f t="shared" si="46"/>
        <v>,"Cannello ossiacetilenico"</v>
      </c>
      <c r="C143" s="3"/>
      <c r="D143" s="3" t="s">
        <v>396</v>
      </c>
      <c r="E143" s="2" t="s">
        <v>8</v>
      </c>
      <c r="K143" s="2" t="str">
        <f t="shared" si="47"/>
        <v xml:space="preserve">boolean,     </v>
      </c>
      <c r="L143" s="2" t="s">
        <v>398</v>
      </c>
      <c r="M143" s="2" t="str">
        <f t="shared" si="39"/>
        <v>FLG_CANNELLO_OSSIACETILENICO</v>
      </c>
      <c r="N143" s="6" t="s">
        <v>365</v>
      </c>
      <c r="O143" s="2" t="str">
        <f t="shared" si="40"/>
        <v>ALTER TABLE TEMP_PDL RENAME "Cannello ossiacetilenico" TO FLG_CANNELLO_OSSIACETILENICO;</v>
      </c>
      <c r="P143" s="2" t="str">
        <f t="shared" si="48"/>
        <v>ALTER TABLE PDL ADD COLUMN FLG_CANNELLO_OSSIACETILENICO boolean     ;</v>
      </c>
      <c r="Q143" s="2" t="str">
        <f t="shared" si="49"/>
        <v>FLG_CANNELLO_OSSIACETILENICO,</v>
      </c>
      <c r="R143" s="2" t="str">
        <f t="shared" si="50"/>
        <v>public static final String  FLG_CANNELLO_OSSIACETILENICO = "FLG_CANNELLO_OSSIACETILENICO";</v>
      </c>
      <c r="S143" s="2" t="str">
        <f t="shared" si="41"/>
        <v/>
      </c>
      <c r="T143" s="2" t="str">
        <f t="shared" si="42"/>
        <v/>
      </c>
      <c r="U143" s="2" t="str">
        <f t="shared" si="38"/>
        <v xml:space="preserve"> id='FLG_CANNELLO_OSSIACETILENICO' name='FLG_CANNELLO_OSSIACETILENICO'</v>
      </c>
      <c r="V143" s="2" t="str">
        <f t="shared" si="43"/>
        <v>$('#FLG_CANNELLO_OSSIACETILENICO').val($('#FLG_CANNELLO_OSSIACETILENICO').is(':checked'));</v>
      </c>
      <c r="W143" s="2" t="str">
        <f t="shared" si="44"/>
        <v>$('#FLG_CANNELLO_OSSIACETILENICO').prop('checked','&lt;#if FLG_CANNELLO_OSSIACETILENICO?exists &amp;&amp; FLG_CANNELLO_OSSIACETILENICO!=''&gt;${FLG_CANNELLO_OSSIACETILENICO}&lt;#else&gt;true&lt;/#if&gt;'==='true')</v>
      </c>
      <c r="X143" s="2" t="str">
        <f t="shared" si="45"/>
        <v>addNoStringField(FLG_CANNELLO_OSSIACETILENICO, Boolean.class);</v>
      </c>
    </row>
    <row r="144" spans="1:24" s="2" customFormat="1" x14ac:dyDescent="0.25">
      <c r="A144" s="3" t="s">
        <v>151</v>
      </c>
      <c r="B144" t="str">
        <f t="shared" si="46"/>
        <v>,"Utensili a tensione di sicurezza"</v>
      </c>
      <c r="C144" s="3"/>
      <c r="D144" s="3" t="s">
        <v>396</v>
      </c>
      <c r="E144" s="2" t="s">
        <v>8</v>
      </c>
      <c r="K144" s="2" t="str">
        <f t="shared" si="47"/>
        <v xml:space="preserve">boolean,     </v>
      </c>
      <c r="L144" s="2" t="s">
        <v>398</v>
      </c>
      <c r="M144" s="2" t="str">
        <f t="shared" si="39"/>
        <v>FLG_UTENSILI_A_TENSIONE_DI_SICUREZZA</v>
      </c>
      <c r="N144" s="6" t="s">
        <v>366</v>
      </c>
      <c r="O144" s="2" t="str">
        <f t="shared" si="40"/>
        <v>ALTER TABLE TEMP_PDL RENAME "Utensili a tensione di sicurezza" TO FLG_UTENSILI_A_TENSIONE_DI_SICUREZZA;</v>
      </c>
      <c r="P144" s="2" t="str">
        <f t="shared" si="48"/>
        <v>ALTER TABLE PDL ADD COLUMN FLG_UTENSILI_A_TENSIONE_DI_SICUREZZA boolean     ;</v>
      </c>
      <c r="Q144" s="2" t="str">
        <f t="shared" si="49"/>
        <v>FLG_UTENSILI_A_TENSIONE_DI_SICUREZZA,</v>
      </c>
      <c r="R144" s="2" t="str">
        <f t="shared" si="50"/>
        <v>public static final String  FLG_UTENSILI_A_TENSIONE_DI_SICUREZZA = "FLG_UTENSILI_A_TENSIONE_DI_SICUREZZA";</v>
      </c>
      <c r="S144" s="2" t="str">
        <f t="shared" si="41"/>
        <v/>
      </c>
      <c r="T144" s="2" t="str">
        <f t="shared" si="42"/>
        <v/>
      </c>
      <c r="U144" s="2" t="str">
        <f t="shared" si="38"/>
        <v xml:space="preserve"> id='FLG_UTENSILI_A_TENSIONE_DI_SICUREZZA' name='FLG_UTENSILI_A_TENSIONE_DI_SICUREZZA'</v>
      </c>
      <c r="V144" s="2" t="str">
        <f t="shared" si="43"/>
        <v>$('#FLG_UTENSILI_A_TENSIONE_DI_SICUREZZA').val($('#FLG_UTENSILI_A_TENSIONE_DI_SICUREZZA').is(':checked'));</v>
      </c>
      <c r="W144" s="2" t="str">
        <f t="shared" si="44"/>
        <v>$('#FLG_UTENSILI_A_TENSIONE_DI_SICUREZZA').prop('checked','&lt;#if FLG_UTENSILI_A_TENSIONE_DI_SICUREZZA?exists &amp;&amp; FLG_UTENSILI_A_TENSIONE_DI_SICUREZZA!=''&gt;${FLG_UTENSILI_A_TENSIONE_DI_SICUREZZA}&lt;#else&gt;true&lt;/#if&gt;'==='true')</v>
      </c>
      <c r="X144" s="2" t="str">
        <f t="shared" si="45"/>
        <v>addNoStringField(FLG_UTENSILI_A_TENSIONE_DI_SICUREZZA, Boolean.class);</v>
      </c>
    </row>
    <row r="145" spans="1:24" s="2" customFormat="1" x14ac:dyDescent="0.25">
      <c r="A145" s="3" t="s">
        <v>152</v>
      </c>
      <c r="B145" t="str">
        <f t="shared" si="46"/>
        <v>,"Attrezzature lavaggi chimici"</v>
      </c>
      <c r="C145" s="3"/>
      <c r="D145" s="3" t="s">
        <v>396</v>
      </c>
      <c r="E145" s="2" t="s">
        <v>8</v>
      </c>
      <c r="K145" s="2" t="str">
        <f t="shared" si="47"/>
        <v xml:space="preserve">boolean,     </v>
      </c>
      <c r="L145" s="2" t="s">
        <v>398</v>
      </c>
      <c r="M145" s="2" t="str">
        <f t="shared" si="39"/>
        <v>FLG_ATTREZZATURE_LAVAGGI_CHIMICI</v>
      </c>
      <c r="N145" s="6" t="s">
        <v>367</v>
      </c>
      <c r="O145" s="2" t="str">
        <f t="shared" si="40"/>
        <v>ALTER TABLE TEMP_PDL RENAME "Attrezzature lavaggi chimici" TO FLG_ATTREZZATURE_LAVAGGI_CHIMICI;</v>
      </c>
      <c r="P145" s="2" t="str">
        <f t="shared" si="48"/>
        <v>ALTER TABLE PDL ADD COLUMN FLG_ATTREZZATURE_LAVAGGI_CHIMICI boolean     ;</v>
      </c>
      <c r="Q145" s="2" t="str">
        <f t="shared" si="49"/>
        <v>FLG_ATTREZZATURE_LAVAGGI_CHIMICI,</v>
      </c>
      <c r="R145" s="2" t="str">
        <f t="shared" si="50"/>
        <v>public static final String  FLG_ATTREZZATURE_LAVAGGI_CHIMICI = "FLG_ATTREZZATURE_LAVAGGI_CHIMICI";</v>
      </c>
      <c r="S145" s="2" t="str">
        <f t="shared" si="41"/>
        <v/>
      </c>
      <c r="T145" s="2" t="str">
        <f t="shared" si="42"/>
        <v/>
      </c>
      <c r="U145" s="2" t="str">
        <f t="shared" si="38"/>
        <v xml:space="preserve"> id='FLG_ATTREZZATURE_LAVAGGI_CHIMICI' name='FLG_ATTREZZATURE_LAVAGGI_CHIMICI'</v>
      </c>
      <c r="V145" s="2" t="str">
        <f t="shared" si="43"/>
        <v>$('#FLG_ATTREZZATURE_LAVAGGI_CHIMICI').val($('#FLG_ATTREZZATURE_LAVAGGI_CHIMICI').is(':checked'));</v>
      </c>
      <c r="W145" s="2" t="str">
        <f t="shared" si="44"/>
        <v>$('#FLG_ATTREZZATURE_LAVAGGI_CHIMICI').prop('checked','&lt;#if FLG_ATTREZZATURE_LAVAGGI_CHIMICI?exists &amp;&amp; FLG_ATTREZZATURE_LAVAGGI_CHIMICI!=''&gt;${FLG_ATTREZZATURE_LAVAGGI_CHIMICI}&lt;#else&gt;true&lt;/#if&gt;'==='true')</v>
      </c>
      <c r="X145" s="2" t="str">
        <f t="shared" si="45"/>
        <v>addNoStringField(FLG_ATTREZZATURE_LAVAGGI_CHIMICI, Boolean.class);</v>
      </c>
    </row>
    <row r="146" spans="1:24" s="2" customFormat="1" x14ac:dyDescent="0.25">
      <c r="A146" s="3" t="s">
        <v>153</v>
      </c>
      <c r="B146" t="str">
        <f t="shared" si="46"/>
        <v>,"Attrezzature per radiografie"</v>
      </c>
      <c r="C146" s="3"/>
      <c r="D146" s="3" t="s">
        <v>396</v>
      </c>
      <c r="E146" s="2" t="s">
        <v>8</v>
      </c>
      <c r="K146" s="2" t="str">
        <f t="shared" si="47"/>
        <v xml:space="preserve">boolean,     </v>
      </c>
      <c r="L146" s="2" t="s">
        <v>398</v>
      </c>
      <c r="M146" s="2" t="str">
        <f t="shared" si="39"/>
        <v>FLG_ATTREZZATURE_PER_RADIOGRAFIE</v>
      </c>
      <c r="N146" s="6" t="s">
        <v>368</v>
      </c>
      <c r="O146" s="2" t="str">
        <f t="shared" si="40"/>
        <v>ALTER TABLE TEMP_PDL RENAME "Attrezzature per radiografie" TO FLG_ATTREZZATURE_PER_RADIOGRAFIE;</v>
      </c>
      <c r="P146" s="2" t="str">
        <f t="shared" si="48"/>
        <v>ALTER TABLE PDL ADD COLUMN FLG_ATTREZZATURE_PER_RADIOGRAFIE boolean     ;</v>
      </c>
      <c r="Q146" s="2" t="str">
        <f t="shared" si="49"/>
        <v>FLG_ATTREZZATURE_PER_RADIOGRAFIE,</v>
      </c>
      <c r="R146" s="2" t="str">
        <f t="shared" si="50"/>
        <v>public static final String  FLG_ATTREZZATURE_PER_RADIOGRAFIE = "FLG_ATTREZZATURE_PER_RADIOGRAFIE";</v>
      </c>
      <c r="S146" s="2" t="str">
        <f t="shared" si="41"/>
        <v/>
      </c>
      <c r="T146" s="2" t="str">
        <f t="shared" si="42"/>
        <v/>
      </c>
      <c r="U146" s="2" t="str">
        <f t="shared" si="38"/>
        <v xml:space="preserve"> id='FLG_ATTREZZATURE_PER_RADIOGRAFIE' name='FLG_ATTREZZATURE_PER_RADIOGRAFIE'</v>
      </c>
      <c r="V146" s="2" t="str">
        <f t="shared" si="43"/>
        <v>$('#FLG_ATTREZZATURE_PER_RADIOGRAFIE').val($('#FLG_ATTREZZATURE_PER_RADIOGRAFIE').is(':checked'));</v>
      </c>
      <c r="W146" s="2" t="str">
        <f t="shared" si="44"/>
        <v>$('#FLG_ATTREZZATURE_PER_RADIOGRAFIE').prop('checked','&lt;#if FLG_ATTREZZATURE_PER_RADIOGRAFIE?exists &amp;&amp; FLG_ATTREZZATURE_PER_RADIOGRAFIE!=''&gt;${FLG_ATTREZZATURE_PER_RADIOGRAFIE}&lt;#else&gt;true&lt;/#if&gt;'==='true')</v>
      </c>
      <c r="X146" s="2" t="str">
        <f t="shared" si="45"/>
        <v>addNoStringField(FLG_ATTREZZATURE_PER_RADIOGRAFIE, Boolean.class);</v>
      </c>
    </row>
    <row r="147" spans="1:24" s="2" customFormat="1" x14ac:dyDescent="0.25">
      <c r="A147" s="3" t="s">
        <v>202</v>
      </c>
      <c r="B147" t="str">
        <f t="shared" si="46"/>
        <v>,"Autogrù"</v>
      </c>
      <c r="C147" s="3"/>
      <c r="D147" s="3" t="s">
        <v>396</v>
      </c>
      <c r="E147" s="2" t="s">
        <v>8</v>
      </c>
      <c r="K147" s="2" t="str">
        <f t="shared" si="47"/>
        <v xml:space="preserve">boolean,     </v>
      </c>
      <c r="L147" s="2" t="s">
        <v>398</v>
      </c>
      <c r="M147" s="2" t="str">
        <f t="shared" si="39"/>
        <v>FLG_AUTOGRU</v>
      </c>
      <c r="N147" s="6" t="s">
        <v>369</v>
      </c>
      <c r="O147" s="2" t="str">
        <f t="shared" si="40"/>
        <v>ALTER TABLE TEMP_PDL RENAME "Autogrù" TO FLG_AUTOGRU;</v>
      </c>
      <c r="P147" s="2" t="str">
        <f t="shared" si="48"/>
        <v>ALTER TABLE PDL ADD COLUMN FLG_AUTOGRU boolean     ;</v>
      </c>
      <c r="Q147" s="2" t="str">
        <f t="shared" si="49"/>
        <v>FLG_AUTOGRU,</v>
      </c>
      <c r="R147" s="2" t="str">
        <f t="shared" si="50"/>
        <v>public static final String  FLG_AUTOGRU = "FLG_AUTOGRU";</v>
      </c>
      <c r="S147" s="2" t="str">
        <f t="shared" si="41"/>
        <v/>
      </c>
      <c r="T147" s="2" t="str">
        <f t="shared" si="42"/>
        <v/>
      </c>
      <c r="U147" s="2" t="str">
        <f t="shared" si="38"/>
        <v xml:space="preserve"> id='FLG_AUTOGRU' name='FLG_AUTOGRU'</v>
      </c>
      <c r="V147" s="2" t="str">
        <f t="shared" si="43"/>
        <v>$('#FLG_AUTOGRU').val($('#FLG_AUTOGRU').is(':checked'));</v>
      </c>
      <c r="W147" s="2" t="str">
        <f t="shared" si="44"/>
        <v>$('#FLG_AUTOGRU').prop('checked','&lt;#if FLG_AUTOGRU?exists &amp;&amp; FLG_AUTOGRU!=''&gt;${FLG_AUTOGRU}&lt;#else&gt;true&lt;/#if&gt;'==='true')</v>
      </c>
      <c r="X147" s="2" t="str">
        <f t="shared" si="45"/>
        <v>addNoStringField(FLG_AUTOGRU, Boolean.class);</v>
      </c>
    </row>
    <row r="148" spans="1:24" s="2" customFormat="1" x14ac:dyDescent="0.25">
      <c r="A148" s="3" t="s">
        <v>154</v>
      </c>
      <c r="B148" t="str">
        <f t="shared" si="46"/>
        <v>,"Automezzo"</v>
      </c>
      <c r="C148" s="3"/>
      <c r="D148" s="3" t="s">
        <v>396</v>
      </c>
      <c r="E148" s="2" t="s">
        <v>8</v>
      </c>
      <c r="K148" s="2" t="str">
        <f t="shared" si="47"/>
        <v xml:space="preserve">boolean,     </v>
      </c>
      <c r="L148" s="2" t="s">
        <v>398</v>
      </c>
      <c r="M148" s="2" t="str">
        <f t="shared" si="39"/>
        <v>FLG_AUTOMEZZO</v>
      </c>
      <c r="N148" s="6" t="s">
        <v>370</v>
      </c>
      <c r="O148" s="2" t="str">
        <f t="shared" si="40"/>
        <v>ALTER TABLE TEMP_PDL RENAME "Automezzo" TO FLG_AUTOMEZZO;</v>
      </c>
      <c r="P148" s="2" t="str">
        <f t="shared" si="48"/>
        <v>ALTER TABLE PDL ADD COLUMN FLG_AUTOMEZZO boolean     ;</v>
      </c>
      <c r="Q148" s="2" t="str">
        <f t="shared" si="49"/>
        <v>FLG_AUTOMEZZO,</v>
      </c>
      <c r="R148" s="2" t="str">
        <f t="shared" si="50"/>
        <v>public static final String  FLG_AUTOMEZZO = "FLG_AUTOMEZZO";</v>
      </c>
      <c r="S148" s="2" t="str">
        <f t="shared" si="41"/>
        <v/>
      </c>
      <c r="T148" s="2" t="str">
        <f t="shared" si="42"/>
        <v/>
      </c>
      <c r="U148" s="2" t="str">
        <f t="shared" si="38"/>
        <v xml:space="preserve"> id='FLG_AUTOMEZZO' name='FLG_AUTOMEZZO'</v>
      </c>
      <c r="V148" s="2" t="str">
        <f t="shared" si="43"/>
        <v>$('#FLG_AUTOMEZZO').val($('#FLG_AUTOMEZZO').is(':checked'));</v>
      </c>
      <c r="W148" s="2" t="str">
        <f t="shared" si="44"/>
        <v>$('#FLG_AUTOMEZZO').prop('checked','&lt;#if FLG_AUTOMEZZO?exists &amp;&amp; FLG_AUTOMEZZO!=''&gt;${FLG_AUTOMEZZO}&lt;#else&gt;true&lt;/#if&gt;'==='true')</v>
      </c>
      <c r="X148" s="2" t="str">
        <f t="shared" si="45"/>
        <v>addNoStringField(FLG_AUTOMEZZO, Boolean.class);</v>
      </c>
    </row>
    <row r="149" spans="1:24" s="2" customFormat="1" x14ac:dyDescent="0.25">
      <c r="A149" s="3" t="s">
        <v>155</v>
      </c>
      <c r="B149" t="str">
        <f t="shared" si="46"/>
        <v>,"Carrello elevatore"</v>
      </c>
      <c r="C149" s="3"/>
      <c r="D149" s="3" t="s">
        <v>396</v>
      </c>
      <c r="E149" s="2" t="s">
        <v>8</v>
      </c>
      <c r="K149" s="2" t="str">
        <f t="shared" si="47"/>
        <v xml:space="preserve">boolean,     </v>
      </c>
      <c r="L149" s="2" t="s">
        <v>398</v>
      </c>
      <c r="M149" s="2" t="str">
        <f t="shared" si="39"/>
        <v>FLG_CARRELLO_ELEVATORE</v>
      </c>
      <c r="N149" s="6" t="s">
        <v>371</v>
      </c>
      <c r="O149" s="2" t="str">
        <f t="shared" si="40"/>
        <v>ALTER TABLE TEMP_PDL RENAME "Carrello elevatore" TO FLG_CARRELLO_ELEVATORE;</v>
      </c>
      <c r="P149" s="2" t="str">
        <f t="shared" si="48"/>
        <v>ALTER TABLE PDL ADD COLUMN FLG_CARRELLO_ELEVATORE boolean     ;</v>
      </c>
      <c r="Q149" s="2" t="str">
        <f t="shared" si="49"/>
        <v>FLG_CARRELLO_ELEVATORE,</v>
      </c>
      <c r="R149" s="2" t="str">
        <f t="shared" si="50"/>
        <v>public static final String  FLG_CARRELLO_ELEVATORE = "FLG_CARRELLO_ELEVATORE";</v>
      </c>
      <c r="S149" s="2" t="str">
        <f t="shared" si="41"/>
        <v/>
      </c>
      <c r="T149" s="2" t="str">
        <f t="shared" si="42"/>
        <v/>
      </c>
      <c r="U149" s="2" t="str">
        <f t="shared" si="38"/>
        <v xml:space="preserve"> id='FLG_CARRELLO_ELEVATORE' name='FLG_CARRELLO_ELEVATORE'</v>
      </c>
      <c r="V149" s="2" t="str">
        <f t="shared" si="43"/>
        <v>$('#FLG_CARRELLO_ELEVATORE').val($('#FLG_CARRELLO_ELEVATORE').is(':checked'));</v>
      </c>
      <c r="W149" s="2" t="str">
        <f t="shared" si="44"/>
        <v>$('#FLG_CARRELLO_ELEVATORE').prop('checked','&lt;#if FLG_CARRELLO_ELEVATORE?exists &amp;&amp; FLG_CARRELLO_ELEVATORE!=''&gt;${FLG_CARRELLO_ELEVATORE}&lt;#else&gt;true&lt;/#if&gt;'==='true')</v>
      </c>
      <c r="X149" s="2" t="str">
        <f t="shared" si="45"/>
        <v>addNoStringField(FLG_CARRELLO_ELEVATORE, Boolean.class);</v>
      </c>
    </row>
    <row r="150" spans="1:24" s="2" customFormat="1" x14ac:dyDescent="0.25">
      <c r="A150" s="3" t="s">
        <v>156</v>
      </c>
      <c r="B150" t="str">
        <f t="shared" si="46"/>
        <v>,"Motopompa"</v>
      </c>
      <c r="C150" s="3"/>
      <c r="D150" s="3" t="s">
        <v>396</v>
      </c>
      <c r="E150" s="2" t="s">
        <v>8</v>
      </c>
      <c r="K150" s="2" t="str">
        <f t="shared" si="47"/>
        <v xml:space="preserve">boolean,     </v>
      </c>
      <c r="L150" s="2" t="s">
        <v>398</v>
      </c>
      <c r="M150" s="2" t="str">
        <f t="shared" si="39"/>
        <v>FLG_MOTOPOMPA</v>
      </c>
      <c r="N150" s="6" t="s">
        <v>372</v>
      </c>
      <c r="O150" s="2" t="str">
        <f t="shared" si="40"/>
        <v>ALTER TABLE TEMP_PDL RENAME "Motopompa" TO FLG_MOTOPOMPA;</v>
      </c>
      <c r="P150" s="2" t="str">
        <f t="shared" si="48"/>
        <v>ALTER TABLE PDL ADD COLUMN FLG_MOTOPOMPA boolean     ;</v>
      </c>
      <c r="Q150" s="2" t="str">
        <f t="shared" si="49"/>
        <v>FLG_MOTOPOMPA,</v>
      </c>
      <c r="R150" s="2" t="str">
        <f t="shared" si="50"/>
        <v>public static final String  FLG_MOTOPOMPA = "FLG_MOTOPOMPA";</v>
      </c>
      <c r="S150" s="2" t="str">
        <f t="shared" si="41"/>
        <v/>
      </c>
      <c r="T150" s="2" t="str">
        <f t="shared" si="42"/>
        <v/>
      </c>
      <c r="U150" s="2" t="str">
        <f t="shared" si="38"/>
        <v xml:space="preserve"> id='FLG_MOTOPOMPA' name='FLG_MOTOPOMPA'</v>
      </c>
      <c r="V150" s="2" t="str">
        <f t="shared" si="43"/>
        <v>$('#FLG_MOTOPOMPA').val($('#FLG_MOTOPOMPA').is(':checked'));</v>
      </c>
      <c r="W150" s="2" t="str">
        <f t="shared" si="44"/>
        <v>$('#FLG_MOTOPOMPA').prop('checked','&lt;#if FLG_MOTOPOMPA?exists &amp;&amp; FLG_MOTOPOMPA!=''&gt;${FLG_MOTOPOMPA}&lt;#else&gt;true&lt;/#if&gt;'==='true')</v>
      </c>
      <c r="X150" s="2" t="str">
        <f t="shared" si="45"/>
        <v>addNoStringField(FLG_MOTOPOMPA, Boolean.class);</v>
      </c>
    </row>
    <row r="151" spans="1:24" s="2" customFormat="1" x14ac:dyDescent="0.25">
      <c r="A151" s="3" t="s">
        <v>157</v>
      </c>
      <c r="B151" t="str">
        <f t="shared" si="46"/>
        <v>,"Autospurgo"</v>
      </c>
      <c r="C151" s="3"/>
      <c r="D151" s="3" t="s">
        <v>396</v>
      </c>
      <c r="E151" s="2" t="s">
        <v>8</v>
      </c>
      <c r="K151" s="2" t="str">
        <f t="shared" si="47"/>
        <v xml:space="preserve">boolean,     </v>
      </c>
      <c r="L151" s="2" t="s">
        <v>398</v>
      </c>
      <c r="M151" s="2" t="str">
        <f t="shared" si="39"/>
        <v>FLG_AUTOSPURGO</v>
      </c>
      <c r="N151" s="6" t="s">
        <v>373</v>
      </c>
      <c r="O151" s="2" t="str">
        <f t="shared" si="40"/>
        <v>ALTER TABLE TEMP_PDL RENAME "Autospurgo" TO FLG_AUTOSPURGO;</v>
      </c>
      <c r="P151" s="2" t="str">
        <f t="shared" si="48"/>
        <v>ALTER TABLE PDL ADD COLUMN FLG_AUTOSPURGO boolean     ;</v>
      </c>
      <c r="Q151" s="2" t="str">
        <f t="shared" si="49"/>
        <v>FLG_AUTOSPURGO,</v>
      </c>
      <c r="R151" s="2" t="str">
        <f t="shared" si="50"/>
        <v>public static final String  FLG_AUTOSPURGO = "FLG_AUTOSPURGO";</v>
      </c>
      <c r="S151" s="2" t="str">
        <f t="shared" si="41"/>
        <v/>
      </c>
      <c r="T151" s="2" t="str">
        <f t="shared" si="42"/>
        <v/>
      </c>
      <c r="U151" s="2" t="str">
        <f t="shared" si="38"/>
        <v xml:space="preserve"> id='FLG_AUTOSPURGO' name='FLG_AUTOSPURGO'</v>
      </c>
      <c r="V151" s="2" t="str">
        <f t="shared" si="43"/>
        <v>$('#FLG_AUTOSPURGO').val($('#FLG_AUTOSPURGO').is(':checked'));</v>
      </c>
      <c r="W151" s="2" t="str">
        <f t="shared" si="44"/>
        <v>$('#FLG_AUTOSPURGO').prop('checked','&lt;#if FLG_AUTOSPURGO?exists &amp;&amp; FLG_AUTOSPURGO!=''&gt;${FLG_AUTOSPURGO}&lt;#else&gt;true&lt;/#if&gt;'==='true')</v>
      </c>
      <c r="X151" s="2" t="str">
        <f t="shared" si="45"/>
        <v>addNoStringField(FLG_AUTOSPURGO, Boolean.class);</v>
      </c>
    </row>
    <row r="152" spans="1:24" s="2" customFormat="1" x14ac:dyDescent="0.25">
      <c r="A152" s="3" t="s">
        <v>158</v>
      </c>
      <c r="B152" t="str">
        <f t="shared" si="46"/>
        <v>,"Scovolatrice"</v>
      </c>
      <c r="C152" s="3"/>
      <c r="D152" s="3" t="s">
        <v>396</v>
      </c>
      <c r="E152" s="2" t="s">
        <v>8</v>
      </c>
      <c r="K152" s="2" t="str">
        <f t="shared" si="47"/>
        <v xml:space="preserve">boolean,     </v>
      </c>
      <c r="L152" s="2" t="s">
        <v>398</v>
      </c>
      <c r="M152" s="2" t="str">
        <f t="shared" si="39"/>
        <v>FLG_SCOVOLATRICE</v>
      </c>
      <c r="N152" s="6" t="s">
        <v>374</v>
      </c>
      <c r="O152" s="2" t="str">
        <f t="shared" si="40"/>
        <v>ALTER TABLE TEMP_PDL RENAME "Scovolatrice" TO FLG_SCOVOLATRICE;</v>
      </c>
      <c r="P152" s="2" t="str">
        <f t="shared" si="48"/>
        <v>ALTER TABLE PDL ADD COLUMN FLG_SCOVOLATRICE boolean     ;</v>
      </c>
      <c r="Q152" s="2" t="str">
        <f t="shared" si="49"/>
        <v>FLG_SCOVOLATRICE,</v>
      </c>
      <c r="R152" s="2" t="str">
        <f t="shared" si="50"/>
        <v>public static final String  FLG_SCOVOLATRICE = "FLG_SCOVOLATRICE";</v>
      </c>
      <c r="S152" s="2" t="str">
        <f t="shared" si="41"/>
        <v/>
      </c>
      <c r="T152" s="2" t="str">
        <f t="shared" si="42"/>
        <v/>
      </c>
      <c r="U152" s="2" t="str">
        <f t="shared" si="38"/>
        <v xml:space="preserve"> id='FLG_SCOVOLATRICE' name='FLG_SCOVOLATRICE'</v>
      </c>
      <c r="V152" s="2" t="str">
        <f t="shared" si="43"/>
        <v>$('#FLG_SCOVOLATRICE').val($('#FLG_SCOVOLATRICE').is(':checked'));</v>
      </c>
      <c r="W152" s="2" t="str">
        <f t="shared" si="44"/>
        <v>$('#FLG_SCOVOLATRICE').prop('checked','&lt;#if FLG_SCOVOLATRICE?exists &amp;&amp; FLG_SCOVOLATRICE!=''&gt;${FLG_SCOVOLATRICE}&lt;#else&gt;true&lt;/#if&gt;'==='true')</v>
      </c>
      <c r="X152" s="2" t="str">
        <f t="shared" si="45"/>
        <v>addNoStringField(FLG_SCOVOLATRICE, Boolean.class);</v>
      </c>
    </row>
    <row r="153" spans="1:24" s="2" customFormat="1" x14ac:dyDescent="0.25">
      <c r="A153" s="3" t="s">
        <v>159</v>
      </c>
      <c r="B153" t="str">
        <f t="shared" si="46"/>
        <v>,"Motocompressore"</v>
      </c>
      <c r="C153" s="3"/>
      <c r="D153" s="3" t="s">
        <v>396</v>
      </c>
      <c r="E153" s="2" t="s">
        <v>8</v>
      </c>
      <c r="K153" s="2" t="str">
        <f t="shared" si="47"/>
        <v xml:space="preserve">boolean,     </v>
      </c>
      <c r="L153" s="2" t="s">
        <v>398</v>
      </c>
      <c r="M153" s="2" t="str">
        <f t="shared" si="39"/>
        <v>FLG_MOTOCOMPRESSORE</v>
      </c>
      <c r="N153" s="6" t="s">
        <v>375</v>
      </c>
      <c r="O153" s="2" t="str">
        <f t="shared" si="40"/>
        <v>ALTER TABLE TEMP_PDL RENAME "Motocompressore" TO FLG_MOTOCOMPRESSORE;</v>
      </c>
      <c r="P153" s="2" t="str">
        <f t="shared" si="48"/>
        <v>ALTER TABLE PDL ADD COLUMN FLG_MOTOCOMPRESSORE boolean     ;</v>
      </c>
      <c r="Q153" s="2" t="str">
        <f t="shared" si="49"/>
        <v>FLG_MOTOCOMPRESSORE,</v>
      </c>
      <c r="R153" s="2" t="str">
        <f t="shared" si="50"/>
        <v>public static final String  FLG_MOTOCOMPRESSORE = "FLG_MOTOCOMPRESSORE";</v>
      </c>
      <c r="S153" s="2" t="str">
        <f t="shared" si="41"/>
        <v/>
      </c>
      <c r="T153" s="2" t="str">
        <f t="shared" si="42"/>
        <v/>
      </c>
      <c r="U153" s="2" t="str">
        <f t="shared" si="38"/>
        <v xml:space="preserve"> id='FLG_MOTOCOMPRESSORE' name='FLG_MOTOCOMPRESSORE'</v>
      </c>
      <c r="V153" s="2" t="str">
        <f t="shared" si="43"/>
        <v>$('#FLG_MOTOCOMPRESSORE').val($('#FLG_MOTOCOMPRESSORE').is(':checked'));</v>
      </c>
      <c r="W153" s="2" t="str">
        <f t="shared" si="44"/>
        <v>$('#FLG_MOTOCOMPRESSORE').prop('checked','&lt;#if FLG_MOTOCOMPRESSORE?exists &amp;&amp; FLG_MOTOCOMPRESSORE!=''&gt;${FLG_MOTOCOMPRESSORE}&lt;#else&gt;true&lt;/#if&gt;'==='true')</v>
      </c>
      <c r="X153" s="2" t="str">
        <f t="shared" si="45"/>
        <v>addNoStringField(FLG_MOTOCOMPRESSORE, Boolean.class);</v>
      </c>
    </row>
    <row r="154" spans="1:24" s="2" customFormat="1" x14ac:dyDescent="0.25">
      <c r="A154" s="3" t="s">
        <v>160</v>
      </c>
      <c r="B154" t="str">
        <f t="shared" si="46"/>
        <v>,"Altra attrezzatura"</v>
      </c>
      <c r="C154" s="3"/>
      <c r="D154" s="3" t="s">
        <v>396</v>
      </c>
      <c r="E154" s="2" t="s">
        <v>0</v>
      </c>
      <c r="F154" s="2" t="s">
        <v>23</v>
      </c>
      <c r="K154" s="2" t="str">
        <f t="shared" si="47"/>
        <v xml:space="preserve">character varying(255),    </v>
      </c>
      <c r="L154" s="2" t="s">
        <v>399</v>
      </c>
      <c r="M154" s="2" t="str">
        <f t="shared" si="39"/>
        <v>ALTRA_ATTREZZATURA</v>
      </c>
      <c r="N154" s="6" t="s">
        <v>229</v>
      </c>
      <c r="O154" s="2" t="str">
        <f t="shared" si="40"/>
        <v>ALTER TABLE TEMP_PDL RENAME "Altra attrezzatura" TO ALTRA_ATTREZZATURA;</v>
      </c>
      <c r="P154" s="2" t="str">
        <f t="shared" si="48"/>
        <v>ALTER TABLE PDL ADD COLUMN ALTRA_ATTREZZATURA character varying(255)    ;</v>
      </c>
      <c r="Q154" s="2" t="str">
        <f t="shared" si="49"/>
        <v>ALTRA_ATTREZZATURA,</v>
      </c>
      <c r="R154" s="2" t="str">
        <f t="shared" si="50"/>
        <v>public static final String  ALTRA_ATTREZZATURA = "ALTRA_ATTREZZATURA";</v>
      </c>
      <c r="S154" s="2" t="str">
        <f t="shared" si="41"/>
        <v/>
      </c>
      <c r="T154" s="2" t="str">
        <f t="shared" si="42"/>
        <v>$('#ALTRA_ATTREZZATURA').val('&lt;#if ALTRA_ATTREZZATURA?exists&gt;${ALTRA_ATTREZZATURA}&lt;/#if&gt;')</v>
      </c>
      <c r="U154" s="2" t="str">
        <f t="shared" si="38"/>
        <v/>
      </c>
      <c r="V154" s="2" t="str">
        <f t="shared" si="43"/>
        <v/>
      </c>
      <c r="W154" s="2" t="str">
        <f t="shared" si="44"/>
        <v/>
      </c>
      <c r="X154" s="2" t="str">
        <f t="shared" si="45"/>
        <v/>
      </c>
    </row>
    <row r="155" spans="1:24" s="2" customFormat="1" x14ac:dyDescent="0.25">
      <c r="A155" s="3" t="s">
        <v>161</v>
      </c>
      <c r="B155" t="str">
        <f t="shared" si="46"/>
        <v>,"Preparaz_del lavoro precauzioni previste durante l'esecuzione"</v>
      </c>
      <c r="C155" s="3"/>
      <c r="D155" s="3" t="s">
        <v>396</v>
      </c>
      <c r="E155" s="2" t="s">
        <v>94</v>
      </c>
      <c r="K155" s="2" t="str">
        <f t="shared" si="47"/>
        <v xml:space="preserve">text,     </v>
      </c>
      <c r="L155" s="2" t="s">
        <v>401</v>
      </c>
      <c r="M155" s="2" t="str">
        <f t="shared" si="39"/>
        <v>PREPARAZ_DEL_LAVORO_PRECAUZIONI_PREVISTE_DURANTE_LESECUZIONE</v>
      </c>
      <c r="N155" s="2" t="s">
        <v>391</v>
      </c>
      <c r="O155" s="2" t="str">
        <f t="shared" si="40"/>
        <v>ALTER TABLE TEMP_PDL RENAME "Preparaz_del lavoro precauzioni previste durante l'esecuzione" TO PREPARAZ_DEL_LAVORO_PRECAUZIONI_PREVISTE_DURANTE_LESECUZIONE;</v>
      </c>
      <c r="P155" s="2" t="str">
        <f t="shared" si="48"/>
        <v>ALTER TABLE PDL ADD COLUMN PREPARAZ_DEL_LAVORO_PRECAUZIONI_PREVISTE_DURANTE_LESECUZIONE text     ;</v>
      </c>
      <c r="Q155" s="2" t="str">
        <f t="shared" si="49"/>
        <v>PREPARAZ_DEL_LAVORO_PRECAUZIONI_PREVISTE_DURANTE_LESECUZIONE,</v>
      </c>
      <c r="R155" s="2" t="str">
        <f t="shared" si="50"/>
        <v>public static final String  PREPARAZ_DEL_LAVORO_PRECAUZIONI_PREVISTE_DURANTE_LESECUZIONE = "PREPARAZ_DEL_LAVORO_PRECAUZIONI_PREVISTE_DURANTE_LESECUZIONE";</v>
      </c>
      <c r="S155" s="2" t="str">
        <f t="shared" si="41"/>
        <v/>
      </c>
      <c r="T155" s="2" t="str">
        <f t="shared" si="42"/>
        <v>$('#PREPARAZ_DEL_LAVORO_PRECAUZIONI_PREVISTE_DURANTE_LESECUZIONE').val('&lt;#if PREPARAZ_DEL_LAVORO_PRECAUZIONI_PREVISTE_DURANTE_LESECUZIONE?exists&gt;${PREPARAZ_DEL_LAVORO_PRECAUZIONI_PREVISTE_DURANTE_LESECUZIONE}&lt;/#if&gt;')</v>
      </c>
      <c r="U155" s="2" t="str">
        <f t="shared" si="38"/>
        <v/>
      </c>
      <c r="V155" s="2" t="str">
        <f t="shared" si="43"/>
        <v/>
      </c>
      <c r="W155" s="2" t="str">
        <f t="shared" si="44"/>
        <v/>
      </c>
      <c r="X155" s="2" t="str">
        <f t="shared" si="45"/>
        <v/>
      </c>
    </row>
    <row r="156" spans="1:24" s="2" customFormat="1" x14ac:dyDescent="0.25">
      <c r="A156" s="3" t="s">
        <v>162</v>
      </c>
      <c r="B156" t="str">
        <f t="shared" si="46"/>
        <v>,"Rischi specifici att_ indicaz_dei mezzi protezione previsti"</v>
      </c>
      <c r="C156" s="3"/>
      <c r="D156" s="3" t="s">
        <v>396</v>
      </c>
      <c r="E156" s="2" t="s">
        <v>94</v>
      </c>
      <c r="K156" s="2" t="str">
        <f t="shared" si="47"/>
        <v xml:space="preserve">text,     </v>
      </c>
      <c r="L156" s="2" t="s">
        <v>401</v>
      </c>
      <c r="M156" s="2" t="str">
        <f t="shared" si="39"/>
        <v>RISCHI_SPECIFICI_ATT_INDICAZ_DEI_MEZZI_PROTEZIONE_PREVISTI</v>
      </c>
      <c r="N156" s="2" t="s">
        <v>230</v>
      </c>
      <c r="O156" s="2" t="str">
        <f t="shared" si="40"/>
        <v>ALTER TABLE TEMP_PDL RENAME "Rischi specifici att_ indicaz_dei mezzi protezione previsti" TO RISCHI_SPECIFICI_ATT_INDICAZ_DEI_MEZZI_PROTEZIONE_PREVISTI;</v>
      </c>
      <c r="P156" s="2" t="str">
        <f t="shared" si="48"/>
        <v>ALTER TABLE PDL ADD COLUMN RISCHI_SPECIFICI_ATT_INDICAZ_DEI_MEZZI_PROTEZIONE_PREVISTI text     ;</v>
      </c>
      <c r="Q156" s="2" t="str">
        <f t="shared" si="49"/>
        <v>RISCHI_SPECIFICI_ATT_INDICAZ_DEI_MEZZI_PROTEZIONE_PREVISTI,</v>
      </c>
      <c r="R156" s="2" t="str">
        <f t="shared" si="50"/>
        <v>public static final String  RISCHI_SPECIFICI_ATT_INDICAZ_DEI_MEZZI_PROTEZIONE_PREVISTI = "RISCHI_SPECIFICI_ATT_INDICAZ_DEI_MEZZI_PROTEZIONE_PREVISTI";</v>
      </c>
      <c r="S156" s="2" t="str">
        <f t="shared" si="41"/>
        <v/>
      </c>
      <c r="T156" s="2" t="str">
        <f t="shared" si="42"/>
        <v>$('#RISCHI_SPECIFICI_ATT_INDICAZ_DEI_MEZZI_PROTEZIONE_PREVISTI').val('&lt;#if RISCHI_SPECIFICI_ATT_INDICAZ_DEI_MEZZI_PROTEZIONE_PREVISTI?exists&gt;${RISCHI_SPECIFICI_ATT_INDICAZ_DEI_MEZZI_PROTEZIONE_PREVISTI}&lt;/#if&gt;')</v>
      </c>
      <c r="U156" s="2" t="str">
        <f t="shared" si="38"/>
        <v/>
      </c>
      <c r="V156" s="2" t="str">
        <f t="shared" si="43"/>
        <v/>
      </c>
      <c r="W156" s="2" t="str">
        <f t="shared" si="44"/>
        <v/>
      </c>
      <c r="X156" s="2" t="str">
        <f t="shared" si="45"/>
        <v/>
      </c>
    </row>
    <row r="157" spans="1:24" s="2" customFormat="1" x14ac:dyDescent="0.25">
      <c r="A157" s="3" t="s">
        <v>163</v>
      </c>
      <c r="B157" t="str">
        <f t="shared" si="46"/>
        <v>,"Nome_Cognome_Preposto_Impresa"</v>
      </c>
      <c r="C157" s="3"/>
      <c r="D157" s="3" t="s">
        <v>396</v>
      </c>
      <c r="E157" s="2" t="s">
        <v>0</v>
      </c>
      <c r="F157" s="2" t="s">
        <v>1</v>
      </c>
      <c r="K157" s="2" t="str">
        <f t="shared" si="47"/>
        <v xml:space="preserve">character varying(50),    </v>
      </c>
      <c r="L157" s="2" t="s">
        <v>397</v>
      </c>
      <c r="M157" s="2" t="str">
        <f t="shared" si="39"/>
        <v>NOME_COGNOME_PREPOSTO_IMPRESA</v>
      </c>
      <c r="N157" s="2" t="s">
        <v>231</v>
      </c>
      <c r="O157" s="2" t="str">
        <f t="shared" si="40"/>
        <v>ALTER TABLE TEMP_PDL RENAME "Nome_Cognome_Preposto_Impresa" TO NOME_COGNOME_PREPOSTO_IMPRESA;</v>
      </c>
      <c r="P157" s="2" t="str">
        <f t="shared" si="48"/>
        <v>ALTER TABLE PDL ADD COLUMN NOME_COGNOME_PREPOSTO_IMPRESA character varying(50)    ;</v>
      </c>
      <c r="Q157" s="2" t="str">
        <f t="shared" si="49"/>
        <v>NOME_COGNOME_PREPOSTO_IMPRESA,</v>
      </c>
      <c r="R157" s="2" t="str">
        <f t="shared" si="50"/>
        <v>public static final String  NOME_COGNOME_PREPOSTO_IMPRESA = "NOME_COGNOME_PREPOSTO_IMPRESA";</v>
      </c>
      <c r="S157" s="2" t="str">
        <f t="shared" si="41"/>
        <v/>
      </c>
      <c r="T157" s="2" t="str">
        <f t="shared" si="42"/>
        <v>$('#NOME_COGNOME_PREPOSTO_IMPRESA').val('&lt;#if NOME_COGNOME_PREPOSTO_IMPRESA?exists&gt;${NOME_COGNOME_PREPOSTO_IMPRESA}&lt;/#if&gt;')</v>
      </c>
      <c r="U157" s="2" t="str">
        <f t="shared" si="38"/>
        <v/>
      </c>
      <c r="V157" s="2" t="str">
        <f t="shared" si="43"/>
        <v/>
      </c>
      <c r="W157" s="2" t="str">
        <f t="shared" si="44"/>
        <v/>
      </c>
      <c r="X157" s="2" t="str">
        <f t="shared" si="45"/>
        <v/>
      </c>
    </row>
    <row r="158" spans="1:24" s="2" customFormat="1" x14ac:dyDescent="0.25">
      <c r="A158" s="3" t="s">
        <v>164</v>
      </c>
      <c r="B158" t="str">
        <f t="shared" si="46"/>
        <v>,"Nome_Cognome_Delegato_lavori_AL"</v>
      </c>
      <c r="C158" s="3"/>
      <c r="D158" s="3" t="s">
        <v>396</v>
      </c>
      <c r="E158" s="2" t="s">
        <v>0</v>
      </c>
      <c r="F158" s="2" t="s">
        <v>1</v>
      </c>
      <c r="K158" s="2" t="str">
        <f t="shared" si="47"/>
        <v xml:space="preserve">character varying(50),    </v>
      </c>
      <c r="L158" s="2" t="s">
        <v>397</v>
      </c>
      <c r="M158" s="2" t="str">
        <f t="shared" si="39"/>
        <v>NOME_COGNOME_DELEGATO_LAVORI_AL</v>
      </c>
      <c r="N158" s="2" t="s">
        <v>232</v>
      </c>
      <c r="O158" s="2" t="str">
        <f t="shared" si="40"/>
        <v>ALTER TABLE TEMP_PDL RENAME "Nome_Cognome_Delegato_lavori_AL" TO NOME_COGNOME_DELEGATO_LAVORI_AL;</v>
      </c>
      <c r="P158" s="2" t="str">
        <f t="shared" si="48"/>
        <v>ALTER TABLE PDL ADD COLUMN NOME_COGNOME_DELEGATO_LAVORI_AL character varying(50)    ;</v>
      </c>
      <c r="Q158" s="2" t="str">
        <f t="shared" si="49"/>
        <v>NOME_COGNOME_DELEGATO_LAVORI_AL,</v>
      </c>
      <c r="R158" s="2" t="str">
        <f t="shared" si="50"/>
        <v>public static final String  NOME_COGNOME_DELEGATO_LAVORI_AL = "NOME_COGNOME_DELEGATO_LAVORI_AL";</v>
      </c>
      <c r="S158" s="2" t="str">
        <f t="shared" si="41"/>
        <v/>
      </c>
      <c r="T158" s="2" t="str">
        <f t="shared" si="42"/>
        <v>$('#NOME_COGNOME_DELEGATO_LAVORI_AL').val('&lt;#if NOME_COGNOME_DELEGATO_LAVORI_AL?exists&gt;${NOME_COGNOME_DELEGATO_LAVORI_AL}&lt;/#if&gt;')</v>
      </c>
      <c r="U158" s="2" t="str">
        <f t="shared" si="38"/>
        <v/>
      </c>
      <c r="V158" s="2" t="str">
        <f t="shared" si="43"/>
        <v/>
      </c>
      <c r="W158" s="2" t="str">
        <f t="shared" si="44"/>
        <v/>
      </c>
      <c r="X158" s="2" t="str">
        <f t="shared" si="45"/>
        <v/>
      </c>
    </row>
    <row r="159" spans="1:24" x14ac:dyDescent="0.25">
      <c r="A159" s="1" t="s">
        <v>165</v>
      </c>
      <c r="B159" t="str">
        <f t="shared" si="46"/>
        <v>,"Stato_Permesso"</v>
      </c>
      <c r="C159" s="1"/>
      <c r="D159" s="1" t="s">
        <v>396</v>
      </c>
      <c r="E159" t="s">
        <v>0</v>
      </c>
      <c r="F159" t="s">
        <v>166</v>
      </c>
      <c r="G159" t="s">
        <v>88</v>
      </c>
      <c r="H159" t="s">
        <v>167</v>
      </c>
      <c r="I159" t="s">
        <v>168</v>
      </c>
      <c r="K159" t="str">
        <f t="shared" si="47"/>
        <v xml:space="preserve">character varying(50) DEFAULT '0'::character varying, </v>
      </c>
      <c r="L159" t="s">
        <v>404</v>
      </c>
      <c r="M159" t="str">
        <f t="shared" si="39"/>
        <v>STATO_PERMESSO</v>
      </c>
      <c r="N159" t="s">
        <v>233</v>
      </c>
      <c r="O159" t="str">
        <f t="shared" si="40"/>
        <v>ALTER TABLE TEMP_PDL RENAME "Stato_Permesso" TO STATO_PERMESSO;</v>
      </c>
      <c r="P159" t="str">
        <f t="shared" si="48"/>
        <v>ALTER TABLE PDL ADD COLUMN STATO_PERMESSO character varying(50) DEFAULT '0'::character varying ;</v>
      </c>
      <c r="Q159" t="str">
        <f t="shared" si="49"/>
        <v>STATO_PERMESSO,</v>
      </c>
      <c r="R159" t="str">
        <f t="shared" si="50"/>
        <v>public static final String  STATO_PERMESSO = "STATO_PERMESSO";</v>
      </c>
      <c r="S159" t="str">
        <f t="shared" si="41"/>
        <v/>
      </c>
      <c r="T159" t="str">
        <f t="shared" si="42"/>
        <v>$('#STATO_PERMESSO').val('&lt;#if STATO_PERMESSO?exists&gt;${STATO_PERMESSO}&lt;/#if&gt;')</v>
      </c>
      <c r="U159" t="str">
        <f t="shared" si="38"/>
        <v/>
      </c>
      <c r="V159" t="str">
        <f t="shared" si="43"/>
        <v/>
      </c>
      <c r="W159" t="str">
        <f t="shared" si="44"/>
        <v/>
      </c>
      <c r="X159" t="str">
        <f t="shared" si="45"/>
        <v/>
      </c>
    </row>
    <row r="160" spans="1:24" s="2" customFormat="1" x14ac:dyDescent="0.25">
      <c r="A160" s="3" t="s">
        <v>169</v>
      </c>
      <c r="B160" t="str">
        <f t="shared" si="46"/>
        <v>,"Descrizione della sospensione"</v>
      </c>
      <c r="C160" s="3"/>
      <c r="D160" s="3" t="s">
        <v>396</v>
      </c>
      <c r="E160" s="2" t="s">
        <v>0</v>
      </c>
      <c r="F160" s="2" t="s">
        <v>23</v>
      </c>
      <c r="K160" s="2" t="str">
        <f t="shared" si="47"/>
        <v xml:space="preserve">character varying(255),    </v>
      </c>
      <c r="L160" s="2" t="s">
        <v>399</v>
      </c>
      <c r="M160" s="2" t="str">
        <f t="shared" si="39"/>
        <v>DESCRIZIONE_DELLA_SOSPENSIONE</v>
      </c>
      <c r="N160" s="2" t="s">
        <v>234</v>
      </c>
      <c r="O160" s="2" t="str">
        <f t="shared" si="40"/>
        <v>ALTER TABLE TEMP_PDL RENAME "Descrizione della sospensione" TO DESCRIZIONE_DELLA_SOSPENSIONE;</v>
      </c>
      <c r="P160" s="2" t="str">
        <f t="shared" si="48"/>
        <v>ALTER TABLE PDL ADD COLUMN DESCRIZIONE_DELLA_SOSPENSIONE character varying(255)    ;</v>
      </c>
      <c r="Q160" s="2" t="str">
        <f t="shared" si="49"/>
        <v>DESCRIZIONE_DELLA_SOSPENSIONE,</v>
      </c>
      <c r="R160" s="2" t="str">
        <f t="shared" si="50"/>
        <v>public static final String  DESCRIZIONE_DELLA_SOSPENSIONE = "DESCRIZIONE_DELLA_SOSPENSIONE";</v>
      </c>
      <c r="S160" s="2" t="str">
        <f t="shared" si="41"/>
        <v/>
      </c>
      <c r="T160" s="2" t="str">
        <f t="shared" si="42"/>
        <v>$('#DESCRIZIONE_DELLA_SOSPENSIONE').val('&lt;#if DESCRIZIONE_DELLA_SOSPENSIONE?exists&gt;${DESCRIZIONE_DELLA_SOSPENSIONE}&lt;/#if&gt;')</v>
      </c>
      <c r="U160" s="2" t="str">
        <f t="shared" si="38"/>
        <v/>
      </c>
      <c r="V160" s="2" t="str">
        <f t="shared" si="43"/>
        <v/>
      </c>
      <c r="W160" s="2" t="str">
        <f t="shared" si="44"/>
        <v/>
      </c>
      <c r="X160" s="2" t="str">
        <f t="shared" si="45"/>
        <v/>
      </c>
    </row>
    <row r="161" spans="1:24" x14ac:dyDescent="0.25">
      <c r="A161" s="1" t="s">
        <v>170</v>
      </c>
      <c r="B161" t="str">
        <f t="shared" si="46"/>
        <v>,"Area ripulita"</v>
      </c>
      <c r="C161" s="1"/>
      <c r="D161" s="1" t="s">
        <v>396</v>
      </c>
      <c r="E161" t="s">
        <v>8</v>
      </c>
      <c r="K161" t="str">
        <f t="shared" si="47"/>
        <v xml:space="preserve">boolean,     </v>
      </c>
      <c r="L161" t="s">
        <v>398</v>
      </c>
      <c r="M161" t="str">
        <f t="shared" ref="M161:M189" si="51">CONCATENATE(IF(E161="boolean,","FLG_",""),IF(E161="boolean","FLG_",""),IF(C161&lt;&gt;"",C161,SUBSTITUTE(SUBSTITUTE(UPPER(SUBSTITUTE(SUBSTITUTE(SUBSTITUTE(SUBSTITUTE(SUBSTITUTE(SUBSTITUTE(SUBSTITUTE(A161,"'",""),"-","_"),"à","a"),"ù","u"),"/","_"),"°","")," ","_")),"__","_"),"__","_")))</f>
        <v>FLG_AREA_RIPULITA</v>
      </c>
      <c r="N161" t="s">
        <v>376</v>
      </c>
      <c r="O161" t="str">
        <f t="shared" ref="O161:O189" si="52">CONCATENATE("ALTER TABLE TEMP_PDL RENAME """,A161,""" TO ",N161,";")</f>
        <v>ALTER TABLE TEMP_PDL RENAME "Area ripulita" TO FLG_AREA_RIPULITA;</v>
      </c>
      <c r="P161" t="str">
        <f t="shared" si="48"/>
        <v>ALTER TABLE PDL ADD COLUMN FLG_AREA_RIPULITA boolean     ;</v>
      </c>
      <c r="Q161" t="str">
        <f t="shared" si="49"/>
        <v>FLG_AREA_RIPULITA,</v>
      </c>
      <c r="R161" t="str">
        <f t="shared" si="50"/>
        <v>public static final String  FLG_AREA_RIPULITA = "FLG_AREA_RIPULITA";</v>
      </c>
      <c r="S161" t="str">
        <f t="shared" ref="S161:S189" si="53">IF(E161="timestamp",CONCATENATE("addNoStringField(",N161,", Timestamp.class);"),"")</f>
        <v/>
      </c>
      <c r="T161" t="str">
        <f t="shared" ref="T161:T189" si="54">IF(MID(N161,1,3)="FLG","",CONCATENATE("$('#",N161,"').val('&lt;#if ",N161,"?exists&gt;${",N161,"}&lt;/#if&gt;')"))</f>
        <v/>
      </c>
      <c r="U161" t="str">
        <f t="shared" si="38"/>
        <v xml:space="preserve"> id='FLG_AREA_RIPULITA' name='FLG_AREA_RIPULITA'</v>
      </c>
      <c r="V161" t="str">
        <f t="shared" ref="V161:V189" si="55">IF(MID(M161,1,3)="FLG",CONCATENATE("$('#",N161,"').val($('#",N161,"').is(':checked'));"),"")</f>
        <v>$('#FLG_AREA_RIPULITA').val($('#FLG_AREA_RIPULITA').is(':checked'));</v>
      </c>
      <c r="W161" t="str">
        <f t="shared" ref="W161:W189" si="56">IF(MID(N161,1,3)="FLG",CONCATENATE("$('#",N161,"').prop('checked','&lt;#if ",N161,"?exists &amp;&amp; ",N161,"!=''&gt;${",N161,"}&lt;#else&gt;true&lt;/#if&gt;'==='true')"),"")</f>
        <v>$('#FLG_AREA_RIPULITA').prop('checked','&lt;#if FLG_AREA_RIPULITA?exists &amp;&amp; FLG_AREA_RIPULITA!=''&gt;${FLG_AREA_RIPULITA}&lt;#else&gt;true&lt;/#if&gt;'==='true')</v>
      </c>
      <c r="X161" t="str">
        <f t="shared" ref="X161:X189" si="57">IF(MID(Q161,1,3)="FLG",CONCATENATE("addNoStringField(",N161,", Boolean.class);"),"")</f>
        <v>addNoStringField(FLG_AREA_RIPULITA, Boolean.class);</v>
      </c>
    </row>
    <row r="162" spans="1:24" x14ac:dyDescent="0.25">
      <c r="A162" s="1" t="s">
        <v>171</v>
      </c>
      <c r="B162" t="str">
        <f t="shared" si="46"/>
        <v>,"Area ripulita_testo"</v>
      </c>
      <c r="C162" s="1"/>
      <c r="D162" s="1" t="s">
        <v>396</v>
      </c>
      <c r="E162" t="s">
        <v>0</v>
      </c>
      <c r="F162" t="s">
        <v>1</v>
      </c>
      <c r="K162" t="str">
        <f t="shared" si="47"/>
        <v xml:space="preserve">character varying(50),    </v>
      </c>
      <c r="L162" t="s">
        <v>397</v>
      </c>
      <c r="M162" t="str">
        <f t="shared" si="51"/>
        <v>AREA_RIPULITA_TESTO</v>
      </c>
      <c r="N162" t="s">
        <v>235</v>
      </c>
      <c r="O162" t="str">
        <f t="shared" si="52"/>
        <v>ALTER TABLE TEMP_PDL RENAME "Area ripulita_testo" TO AREA_RIPULITA_TESTO;</v>
      </c>
      <c r="P162" t="str">
        <f t="shared" si="48"/>
        <v>ALTER TABLE PDL ADD COLUMN AREA_RIPULITA_TESTO character varying(50)    ;</v>
      </c>
      <c r="Q162" t="str">
        <f t="shared" si="49"/>
        <v>AREA_RIPULITA_TESTO,</v>
      </c>
      <c r="R162" t="str">
        <f t="shared" si="50"/>
        <v>public static final String  AREA_RIPULITA_TESTO = "AREA_RIPULITA_TESTO";</v>
      </c>
      <c r="S162" t="str">
        <f t="shared" si="53"/>
        <v/>
      </c>
      <c r="T162" t="str">
        <f t="shared" si="54"/>
        <v>$('#AREA_RIPULITA_TESTO').val('&lt;#if AREA_RIPULITA_TESTO?exists&gt;${AREA_RIPULITA_TESTO}&lt;/#if&gt;')</v>
      </c>
      <c r="U162" t="str">
        <f t="shared" si="38"/>
        <v/>
      </c>
      <c r="V162" t="str">
        <f t="shared" si="55"/>
        <v/>
      </c>
      <c r="W162" t="str">
        <f t="shared" si="56"/>
        <v/>
      </c>
      <c r="X162" t="str">
        <f t="shared" si="57"/>
        <v/>
      </c>
    </row>
    <row r="163" spans="1:24" x14ac:dyDescent="0.25">
      <c r="A163" s="1" t="s">
        <v>172</v>
      </c>
      <c r="B163" t="str">
        <f t="shared" si="46"/>
        <v>,"Capo Turno"</v>
      </c>
      <c r="C163" s="1"/>
      <c r="D163" s="1" t="s">
        <v>396</v>
      </c>
      <c r="E163" t="s">
        <v>0</v>
      </c>
      <c r="F163" t="s">
        <v>1</v>
      </c>
      <c r="K163" t="str">
        <f t="shared" si="47"/>
        <v xml:space="preserve">character varying(50),    </v>
      </c>
      <c r="L163" t="s">
        <v>397</v>
      </c>
      <c r="M163" t="str">
        <f t="shared" si="51"/>
        <v>CAPO_TURNO</v>
      </c>
      <c r="N163" t="s">
        <v>236</v>
      </c>
      <c r="O163" t="str">
        <f t="shared" si="52"/>
        <v>ALTER TABLE TEMP_PDL RENAME "Capo Turno" TO CAPO_TURNO;</v>
      </c>
      <c r="P163" t="str">
        <f t="shared" si="48"/>
        <v>ALTER TABLE PDL ADD COLUMN CAPO_TURNO character varying(50)    ;</v>
      </c>
      <c r="Q163" t="str">
        <f t="shared" si="49"/>
        <v>CAPO_TURNO,</v>
      </c>
      <c r="R163" t="str">
        <f t="shared" si="50"/>
        <v>public static final String  CAPO_TURNO = "CAPO_TURNO";</v>
      </c>
      <c r="S163" t="str">
        <f t="shared" si="53"/>
        <v/>
      </c>
      <c r="T163" t="str">
        <f t="shared" si="54"/>
        <v>$('#CAPO_TURNO').val('&lt;#if CAPO_TURNO?exists&gt;${CAPO_TURNO}&lt;/#if&gt;')</v>
      </c>
      <c r="U163" t="str">
        <f t="shared" si="38"/>
        <v/>
      </c>
      <c r="V163" t="str">
        <f t="shared" si="55"/>
        <v/>
      </c>
      <c r="W163" t="str">
        <f t="shared" si="56"/>
        <v/>
      </c>
      <c r="X163" t="str">
        <f t="shared" si="57"/>
        <v/>
      </c>
    </row>
    <row r="164" spans="1:24" x14ac:dyDescent="0.25">
      <c r="A164" s="1" t="s">
        <v>173</v>
      </c>
      <c r="B164" t="str">
        <f t="shared" si="46"/>
        <v>,"Data chiusura"</v>
      </c>
      <c r="C164" s="1"/>
      <c r="D164" s="1" t="s">
        <v>396</v>
      </c>
      <c r="E164" t="s">
        <v>127</v>
      </c>
      <c r="F164" t="s">
        <v>128</v>
      </c>
      <c r="G164" t="s">
        <v>129</v>
      </c>
      <c r="H164" t="s">
        <v>174</v>
      </c>
      <c r="K164" t="str">
        <f t="shared" si="47"/>
        <v xml:space="preserve">timestamp without time zone,  </v>
      </c>
      <c r="L164" t="s">
        <v>405</v>
      </c>
      <c r="M164" t="str">
        <f t="shared" si="51"/>
        <v>DATA_CHIUSURA</v>
      </c>
      <c r="N164" t="s">
        <v>237</v>
      </c>
      <c r="O164" t="str">
        <f t="shared" si="52"/>
        <v>ALTER TABLE TEMP_PDL RENAME "Data chiusura" TO DATA_CHIUSURA;</v>
      </c>
      <c r="P164" t="str">
        <f t="shared" si="48"/>
        <v>ALTER TABLE PDL ADD COLUMN DATA_CHIUSURA timestamp without time zone  ;</v>
      </c>
      <c r="Q164" t="str">
        <f t="shared" si="49"/>
        <v>DATA_CHIUSURA,</v>
      </c>
      <c r="R164" t="str">
        <f t="shared" si="50"/>
        <v>public static final String  DATA_CHIUSURA = "DATA_CHIUSURA";</v>
      </c>
      <c r="S164" t="str">
        <f t="shared" si="53"/>
        <v>addNoStringField(DATA_CHIUSURA, Timestamp.class);</v>
      </c>
      <c r="T164" t="str">
        <f t="shared" si="54"/>
        <v>$('#DATA_CHIUSURA').val('&lt;#if DATA_CHIUSURA?exists&gt;${DATA_CHIUSURA}&lt;/#if&gt;')</v>
      </c>
      <c r="U164" t="str">
        <f t="shared" si="38"/>
        <v/>
      </c>
      <c r="V164" t="str">
        <f t="shared" si="55"/>
        <v/>
      </c>
      <c r="W164" t="str">
        <f t="shared" si="56"/>
        <v/>
      </c>
      <c r="X164" t="str">
        <f t="shared" si="57"/>
        <v/>
      </c>
    </row>
    <row r="165" spans="1:24" x14ac:dyDescent="0.25">
      <c r="A165" s="1" t="s">
        <v>175</v>
      </c>
      <c r="B165" t="str">
        <f t="shared" si="46"/>
        <v>,"Convalida"</v>
      </c>
      <c r="C165" s="1"/>
      <c r="D165" s="1" t="s">
        <v>396</v>
      </c>
      <c r="E165" t="s">
        <v>8</v>
      </c>
      <c r="K165" t="str">
        <f t="shared" si="47"/>
        <v xml:space="preserve">boolean,     </v>
      </c>
      <c r="L165" t="s">
        <v>398</v>
      </c>
      <c r="M165" t="str">
        <f t="shared" si="51"/>
        <v>FLG_CONVALIDA</v>
      </c>
      <c r="N165" t="s">
        <v>377</v>
      </c>
      <c r="O165" t="str">
        <f t="shared" si="52"/>
        <v>ALTER TABLE TEMP_PDL RENAME "Convalida" TO FLG_CONVALIDA;</v>
      </c>
      <c r="P165" t="str">
        <f t="shared" si="48"/>
        <v>ALTER TABLE PDL ADD COLUMN FLG_CONVALIDA boolean     ;</v>
      </c>
      <c r="Q165" t="str">
        <f t="shared" si="49"/>
        <v>FLG_CONVALIDA,</v>
      </c>
      <c r="R165" t="str">
        <f t="shared" si="50"/>
        <v>public static final String  FLG_CONVALIDA = "FLG_CONVALIDA";</v>
      </c>
      <c r="S165" t="str">
        <f t="shared" si="53"/>
        <v/>
      </c>
      <c r="T165" t="str">
        <f t="shared" si="54"/>
        <v/>
      </c>
      <c r="U165" t="str">
        <f t="shared" si="38"/>
        <v xml:space="preserve"> id='FLG_CONVALIDA' name='FLG_CONVALIDA'</v>
      </c>
      <c r="V165" t="str">
        <f t="shared" si="55"/>
        <v>$('#FLG_CONVALIDA').val($('#FLG_CONVALIDA').is(':checked'));</v>
      </c>
      <c r="W165" t="str">
        <f t="shared" si="56"/>
        <v>$('#FLG_CONVALIDA').prop('checked','&lt;#if FLG_CONVALIDA?exists &amp;&amp; FLG_CONVALIDA!=''&gt;${FLG_CONVALIDA}&lt;#else&gt;true&lt;/#if&gt;'==='true')</v>
      </c>
      <c r="X165" t="str">
        <f t="shared" si="57"/>
        <v>addNoStringField(FLG_CONVALIDA, Boolean.class);</v>
      </c>
    </row>
    <row r="166" spans="1:24" x14ac:dyDescent="0.25">
      <c r="A166" s="1" t="s">
        <v>176</v>
      </c>
      <c r="B166" t="str">
        <f t="shared" si="46"/>
        <v>,"Ponteggio"</v>
      </c>
      <c r="C166" s="1"/>
      <c r="D166" s="1" t="s">
        <v>396</v>
      </c>
      <c r="E166" t="s">
        <v>8</v>
      </c>
      <c r="K166" t="str">
        <f t="shared" si="47"/>
        <v xml:space="preserve">boolean,     </v>
      </c>
      <c r="L166" t="s">
        <v>398</v>
      </c>
      <c r="M166" t="str">
        <f t="shared" si="51"/>
        <v>FLG_PONTEGGIO</v>
      </c>
      <c r="N166" t="s">
        <v>378</v>
      </c>
      <c r="O166" t="str">
        <f t="shared" si="52"/>
        <v>ALTER TABLE TEMP_PDL RENAME "Ponteggio" TO FLG_PONTEGGIO;</v>
      </c>
      <c r="P166" t="str">
        <f t="shared" si="48"/>
        <v>ALTER TABLE PDL ADD COLUMN FLG_PONTEGGIO boolean     ;</v>
      </c>
      <c r="Q166" t="str">
        <f t="shared" si="49"/>
        <v>FLG_PONTEGGIO,</v>
      </c>
      <c r="R166" t="str">
        <f t="shared" si="50"/>
        <v>public static final String  FLG_PONTEGGIO = "FLG_PONTEGGIO";</v>
      </c>
      <c r="S166" t="str">
        <f t="shared" si="53"/>
        <v/>
      </c>
      <c r="T166" t="str">
        <f t="shared" si="54"/>
        <v/>
      </c>
      <c r="U166" t="str">
        <f t="shared" si="38"/>
        <v xml:space="preserve"> id='FLG_PONTEGGIO' name='FLG_PONTEGGIO'</v>
      </c>
      <c r="V166" t="str">
        <f t="shared" si="55"/>
        <v>$('#FLG_PONTEGGIO').val($('#FLG_PONTEGGIO').is(':checked'));</v>
      </c>
      <c r="W166" t="str">
        <f t="shared" si="56"/>
        <v>$('#FLG_PONTEGGIO').prop('checked','&lt;#if FLG_PONTEGGIO?exists &amp;&amp; FLG_PONTEGGIO!=''&gt;${FLG_PONTEGGIO}&lt;#else&gt;true&lt;/#if&gt;'==='true')</v>
      </c>
      <c r="X166" t="str">
        <f t="shared" si="57"/>
        <v>addNoStringField(FLG_PONTEGGIO, Boolean.class);</v>
      </c>
    </row>
    <row r="167" spans="1:24" x14ac:dyDescent="0.25">
      <c r="A167" s="1" t="s">
        <v>177</v>
      </c>
      <c r="B167" t="str">
        <f t="shared" si="46"/>
        <v>,"Vapore"</v>
      </c>
      <c r="C167" s="1"/>
      <c r="D167" s="1" t="s">
        <v>396</v>
      </c>
      <c r="E167" t="s">
        <v>8</v>
      </c>
      <c r="K167" t="str">
        <f t="shared" si="47"/>
        <v xml:space="preserve">boolean,     </v>
      </c>
      <c r="L167" t="s">
        <v>398</v>
      </c>
      <c r="M167" t="str">
        <f t="shared" si="51"/>
        <v>FLG_VAPORE</v>
      </c>
      <c r="N167" t="s">
        <v>379</v>
      </c>
      <c r="O167" t="str">
        <f t="shared" si="52"/>
        <v>ALTER TABLE TEMP_PDL RENAME "Vapore" TO FLG_VAPORE;</v>
      </c>
      <c r="P167" t="str">
        <f t="shared" si="48"/>
        <v>ALTER TABLE PDL ADD COLUMN FLG_VAPORE boolean     ;</v>
      </c>
      <c r="Q167" t="str">
        <f t="shared" si="49"/>
        <v>FLG_VAPORE,</v>
      </c>
      <c r="R167" t="str">
        <f t="shared" si="50"/>
        <v>public static final String  FLG_VAPORE = "FLG_VAPORE";</v>
      </c>
      <c r="S167" t="str">
        <f t="shared" si="53"/>
        <v/>
      </c>
      <c r="T167" t="str">
        <f t="shared" si="54"/>
        <v/>
      </c>
      <c r="U167" t="str">
        <f t="shared" si="38"/>
        <v xml:space="preserve"> id='FLG_VAPORE' name='FLG_VAPORE'</v>
      </c>
      <c r="V167" t="str">
        <f t="shared" si="55"/>
        <v>$('#FLG_VAPORE').val($('#FLG_VAPORE').is(':checked'));</v>
      </c>
      <c r="W167" s="2" t="str">
        <f t="shared" si="56"/>
        <v>$('#FLG_VAPORE').prop('checked','&lt;#if FLG_VAPORE?exists &amp;&amp; FLG_VAPORE!=''&gt;${FLG_VAPORE}&lt;#else&gt;true&lt;/#if&gt;'==='true')</v>
      </c>
      <c r="X167" t="str">
        <f t="shared" si="57"/>
        <v>addNoStringField(FLG_VAPORE, Boolean.class);</v>
      </c>
    </row>
    <row r="168" spans="1:24" s="2" customFormat="1" x14ac:dyDescent="0.25">
      <c r="A168" s="3" t="s">
        <v>178</v>
      </c>
      <c r="B168" s="2" t="str">
        <f t="shared" si="46"/>
        <v>,"Permesso di accesso"</v>
      </c>
      <c r="C168" s="3"/>
      <c r="D168" s="3" t="s">
        <v>396</v>
      </c>
      <c r="E168" s="2" t="s">
        <v>8</v>
      </c>
      <c r="K168" s="2" t="str">
        <f t="shared" si="47"/>
        <v xml:space="preserve">boolean,     </v>
      </c>
      <c r="L168" s="2" t="s">
        <v>398</v>
      </c>
      <c r="M168" s="2" t="str">
        <f t="shared" si="51"/>
        <v>FLG_PERMESSO_DI_ACCESSO</v>
      </c>
      <c r="N168" s="2" t="s">
        <v>380</v>
      </c>
      <c r="O168" s="2" t="str">
        <f t="shared" si="52"/>
        <v>ALTER TABLE TEMP_PDL RENAME "Permesso di accesso" TO FLG_PERMESSO_DI_ACCESSO;</v>
      </c>
      <c r="P168" s="2" t="str">
        <f t="shared" si="48"/>
        <v>ALTER TABLE PDL ADD COLUMN FLG_PERMESSO_DI_ACCESSO boolean     ;</v>
      </c>
      <c r="Q168" s="2" t="str">
        <f t="shared" si="49"/>
        <v>FLG_PERMESSO_DI_ACCESSO,</v>
      </c>
      <c r="R168" s="2" t="str">
        <f t="shared" si="50"/>
        <v>public static final String  FLG_PERMESSO_DI_ACCESSO = "FLG_PERMESSO_DI_ACCESSO";</v>
      </c>
      <c r="S168" s="2" t="str">
        <f t="shared" si="53"/>
        <v/>
      </c>
      <c r="T168" s="2" t="str">
        <f t="shared" si="54"/>
        <v/>
      </c>
      <c r="U168" s="2" t="str">
        <f t="shared" si="38"/>
        <v xml:space="preserve"> id='FLG_PERMESSO_DI_ACCESSO' name='FLG_PERMESSO_DI_ACCESSO'</v>
      </c>
      <c r="V168" s="2" t="str">
        <f t="shared" si="55"/>
        <v>$('#FLG_PERMESSO_DI_ACCESSO').val($('#FLG_PERMESSO_DI_ACCESSO').is(':checked'));</v>
      </c>
      <c r="W168" s="2" t="str">
        <f t="shared" si="56"/>
        <v>$('#FLG_PERMESSO_DI_ACCESSO').prop('checked','&lt;#if FLG_PERMESSO_DI_ACCESSO?exists &amp;&amp; FLG_PERMESSO_DI_ACCESSO!=''&gt;${FLG_PERMESSO_DI_ACCESSO}&lt;#else&gt;true&lt;/#if&gt;'==='true')</v>
      </c>
      <c r="X168" s="2" t="str">
        <f t="shared" si="57"/>
        <v>addNoStringField(FLG_PERMESSO_DI_ACCESSO, Boolean.class);</v>
      </c>
    </row>
    <row r="169" spans="1:24" s="2" customFormat="1" x14ac:dyDescent="0.25">
      <c r="A169" s="3" t="s">
        <v>179</v>
      </c>
      <c r="B169" s="2" t="str">
        <f t="shared" si="46"/>
        <v>,"LOTO"</v>
      </c>
      <c r="C169" s="3"/>
      <c r="D169" s="3" t="s">
        <v>396</v>
      </c>
      <c r="E169" s="2" t="s">
        <v>8</v>
      </c>
      <c r="K169" s="2" t="str">
        <f t="shared" si="47"/>
        <v xml:space="preserve">boolean,     </v>
      </c>
      <c r="L169" s="2" t="s">
        <v>398</v>
      </c>
      <c r="M169" s="2" t="str">
        <f t="shared" si="51"/>
        <v>FLG_LOTO</v>
      </c>
      <c r="N169" s="2" t="s">
        <v>381</v>
      </c>
      <c r="O169" s="2" t="str">
        <f t="shared" si="52"/>
        <v>ALTER TABLE TEMP_PDL RENAME "LOTO" TO FLG_LOTO;</v>
      </c>
      <c r="P169" s="2" t="str">
        <f t="shared" si="48"/>
        <v>ALTER TABLE PDL ADD COLUMN FLG_LOTO boolean     ;</v>
      </c>
      <c r="Q169" s="2" t="str">
        <f t="shared" si="49"/>
        <v>FLG_LOTO,</v>
      </c>
      <c r="R169" s="2" t="str">
        <f t="shared" si="50"/>
        <v>public static final String  FLG_LOTO = "FLG_LOTO";</v>
      </c>
      <c r="S169" s="2" t="str">
        <f t="shared" si="53"/>
        <v/>
      </c>
      <c r="T169" s="2" t="str">
        <f t="shared" si="54"/>
        <v/>
      </c>
      <c r="U169" s="2" t="str">
        <f t="shared" si="38"/>
        <v xml:space="preserve"> id='FLG_LOTO' name='FLG_LOTO'</v>
      </c>
      <c r="V169" s="2" t="str">
        <f t="shared" si="55"/>
        <v>$('#FLG_LOTO').val($('#FLG_LOTO').is(':checked'));</v>
      </c>
      <c r="W169" s="2" t="str">
        <f t="shared" si="56"/>
        <v>$('#FLG_LOTO').prop('checked','&lt;#if FLG_LOTO?exists &amp;&amp; FLG_LOTO!=''&gt;${FLG_LOTO}&lt;#else&gt;true&lt;/#if&gt;'==='true')</v>
      </c>
      <c r="X169" s="2" t="str">
        <f t="shared" si="57"/>
        <v>addNoStringField(FLG_LOTO, Boolean.class);</v>
      </c>
    </row>
    <row r="170" spans="1:24" x14ac:dyDescent="0.25">
      <c r="A170" s="1" t="s">
        <v>180</v>
      </c>
      <c r="B170" t="str">
        <f t="shared" si="46"/>
        <v>,"LOTO testo"</v>
      </c>
      <c r="C170" s="1"/>
      <c r="D170" s="1" t="s">
        <v>396</v>
      </c>
      <c r="E170" t="s">
        <v>0</v>
      </c>
      <c r="F170" t="s">
        <v>1</v>
      </c>
      <c r="K170" t="str">
        <f t="shared" si="47"/>
        <v xml:space="preserve">character varying(50),    </v>
      </c>
      <c r="L170" t="s">
        <v>397</v>
      </c>
      <c r="M170" t="str">
        <f t="shared" si="51"/>
        <v>LOTO_TESTO</v>
      </c>
      <c r="N170" t="s">
        <v>238</v>
      </c>
      <c r="O170" t="str">
        <f t="shared" si="52"/>
        <v>ALTER TABLE TEMP_PDL RENAME "LOTO testo" TO LOTO_TESTO;</v>
      </c>
      <c r="P170" t="str">
        <f t="shared" si="48"/>
        <v>ALTER TABLE PDL ADD COLUMN LOTO_TESTO character varying(50)    ;</v>
      </c>
      <c r="Q170" t="str">
        <f t="shared" si="49"/>
        <v>LOTO_TESTO,</v>
      </c>
      <c r="R170" t="str">
        <f t="shared" si="50"/>
        <v>public static final String  LOTO_TESTO = "LOTO_TESTO";</v>
      </c>
      <c r="S170" t="str">
        <f t="shared" si="53"/>
        <v/>
      </c>
      <c r="T170" t="str">
        <f t="shared" si="54"/>
        <v>$('#LOTO_TESTO').val('&lt;#if LOTO_TESTO?exists&gt;${LOTO_TESTO}&lt;/#if&gt;')</v>
      </c>
      <c r="U170" t="str">
        <f t="shared" si="38"/>
        <v/>
      </c>
      <c r="V170" t="str">
        <f t="shared" si="55"/>
        <v/>
      </c>
      <c r="W170" t="str">
        <f t="shared" si="56"/>
        <v/>
      </c>
      <c r="X170" t="str">
        <f t="shared" si="57"/>
        <v/>
      </c>
    </row>
    <row r="171" spans="1:24" x14ac:dyDescent="0.25">
      <c r="A171" s="1" t="s">
        <v>181</v>
      </c>
      <c r="B171" t="str">
        <f t="shared" si="46"/>
        <v>,"Solo Tag-out"</v>
      </c>
      <c r="C171" s="1"/>
      <c r="D171" s="1" t="s">
        <v>396</v>
      </c>
      <c r="E171" t="s">
        <v>8</v>
      </c>
      <c r="K171" t="str">
        <f t="shared" si="47"/>
        <v xml:space="preserve">boolean,     </v>
      </c>
      <c r="L171" t="s">
        <v>398</v>
      </c>
      <c r="M171" t="str">
        <f t="shared" si="51"/>
        <v>FLG_SOLO_TAG_OUT</v>
      </c>
      <c r="N171" t="s">
        <v>382</v>
      </c>
      <c r="O171" t="str">
        <f t="shared" si="52"/>
        <v>ALTER TABLE TEMP_PDL RENAME "Solo Tag-out" TO FLG_SOLO_TAG_OUT;</v>
      </c>
      <c r="P171" t="str">
        <f t="shared" si="48"/>
        <v>ALTER TABLE PDL ADD COLUMN FLG_SOLO_TAG_OUT boolean     ;</v>
      </c>
      <c r="Q171" t="str">
        <f t="shared" si="49"/>
        <v>FLG_SOLO_TAG_OUT,</v>
      </c>
      <c r="R171" t="str">
        <f t="shared" si="50"/>
        <v>public static final String  FLG_SOLO_TAG_OUT = "FLG_SOLO_TAG_OUT";</v>
      </c>
      <c r="S171" t="str">
        <f t="shared" si="53"/>
        <v/>
      </c>
      <c r="T171" t="str">
        <f t="shared" si="54"/>
        <v/>
      </c>
      <c r="U171" t="str">
        <f t="shared" si="38"/>
        <v xml:space="preserve"> id='FLG_SOLO_TAG_OUT' name='FLG_SOLO_TAG_OUT'</v>
      </c>
      <c r="V171" t="str">
        <f t="shared" si="55"/>
        <v>$('#FLG_SOLO_TAG_OUT').val($('#FLG_SOLO_TAG_OUT').is(':checked'));</v>
      </c>
      <c r="W171" t="str">
        <f t="shared" si="56"/>
        <v>$('#FLG_SOLO_TAG_OUT').prop('checked','&lt;#if FLG_SOLO_TAG_OUT?exists &amp;&amp; FLG_SOLO_TAG_OUT!=''&gt;${FLG_SOLO_TAG_OUT}&lt;#else&gt;true&lt;/#if&gt;'==='true')</v>
      </c>
      <c r="X171" t="str">
        <f t="shared" si="57"/>
        <v>addNoStringField(FLG_SOLO_TAG_OUT, Boolean.class);</v>
      </c>
    </row>
    <row r="172" spans="1:24" x14ac:dyDescent="0.25">
      <c r="A172" s="1" t="s">
        <v>182</v>
      </c>
      <c r="B172" t="str">
        <f t="shared" si="46"/>
        <v>,"Altro_sez1_Prescrizioni_sic2_testo"</v>
      </c>
      <c r="C172" s="1"/>
      <c r="D172" s="1" t="s">
        <v>396</v>
      </c>
      <c r="E172" t="s">
        <v>94</v>
      </c>
      <c r="K172" t="str">
        <f t="shared" si="47"/>
        <v xml:space="preserve">text,     </v>
      </c>
      <c r="L172" t="s">
        <v>401</v>
      </c>
      <c r="M172" t="str">
        <f t="shared" si="51"/>
        <v>ALTRO_SEZ1_PRESCRIZIONI_SIC2_TESTO</v>
      </c>
      <c r="N172" t="s">
        <v>239</v>
      </c>
      <c r="O172" t="str">
        <f t="shared" si="52"/>
        <v>ALTER TABLE TEMP_PDL RENAME "Altro_sez1_Prescrizioni_sic2_testo" TO ALTRO_SEZ1_PRESCRIZIONI_SIC2_TESTO;</v>
      </c>
      <c r="P172" t="str">
        <f t="shared" si="48"/>
        <v>ALTER TABLE PDL ADD COLUMN ALTRO_SEZ1_PRESCRIZIONI_SIC2_TESTO text     ;</v>
      </c>
      <c r="Q172" t="str">
        <f t="shared" si="49"/>
        <v>ALTRO_SEZ1_PRESCRIZIONI_SIC2_TESTO,</v>
      </c>
      <c r="R172" t="str">
        <f t="shared" si="50"/>
        <v>public static final String  ALTRO_SEZ1_PRESCRIZIONI_SIC2_TESTO = "ALTRO_SEZ1_PRESCRIZIONI_SIC2_TESTO";</v>
      </c>
      <c r="S172" t="str">
        <f t="shared" si="53"/>
        <v/>
      </c>
      <c r="T172" t="str">
        <f t="shared" si="54"/>
        <v>$('#ALTRO_SEZ1_PRESCRIZIONI_SIC2_TESTO').val('&lt;#if ALTRO_SEZ1_PRESCRIZIONI_SIC2_TESTO?exists&gt;${ALTRO_SEZ1_PRESCRIZIONI_SIC2_TESTO}&lt;/#if&gt;')</v>
      </c>
      <c r="U172" t="str">
        <f t="shared" si="38"/>
        <v/>
      </c>
      <c r="V172" t="str">
        <f t="shared" si="55"/>
        <v/>
      </c>
      <c r="W172" t="str">
        <f t="shared" si="56"/>
        <v/>
      </c>
      <c r="X172" t="str">
        <f t="shared" si="57"/>
        <v/>
      </c>
    </row>
    <row r="173" spans="1:24" x14ac:dyDescent="0.25">
      <c r="A173" s="1" t="s">
        <v>183</v>
      </c>
      <c r="B173" t="str">
        <f t="shared" si="46"/>
        <v>,"TA"</v>
      </c>
      <c r="C173" s="1"/>
      <c r="D173" s="1" t="s">
        <v>396</v>
      </c>
      <c r="E173" t="s">
        <v>87</v>
      </c>
      <c r="F173" t="s">
        <v>88</v>
      </c>
      <c r="G173" t="s">
        <v>104</v>
      </c>
      <c r="K173" t="str">
        <f t="shared" si="47"/>
        <v xml:space="preserve">boolean DEFAULT false,   </v>
      </c>
      <c r="L173" t="s">
        <v>402</v>
      </c>
      <c r="M173" t="str">
        <f t="shared" si="51"/>
        <v>FLG_TA</v>
      </c>
      <c r="N173" t="s">
        <v>383</v>
      </c>
      <c r="O173" t="str">
        <f t="shared" si="52"/>
        <v>ALTER TABLE TEMP_PDL RENAME "TA" TO FLG_TA;</v>
      </c>
      <c r="P173" t="str">
        <f t="shared" si="48"/>
        <v>ALTER TABLE PDL ADD COLUMN FLG_TA boolean DEFAULT false   ;</v>
      </c>
      <c r="Q173" t="str">
        <f t="shared" si="49"/>
        <v>FLG_TA,</v>
      </c>
      <c r="R173" t="str">
        <f t="shared" si="50"/>
        <v>public static final String  FLG_TA = "FLG_TA";</v>
      </c>
      <c r="S173" t="str">
        <f t="shared" si="53"/>
        <v/>
      </c>
      <c r="T173" t="str">
        <f t="shared" si="54"/>
        <v/>
      </c>
      <c r="U173" t="str">
        <f t="shared" si="38"/>
        <v xml:space="preserve"> id='FLG_TA' name='FLG_TA'</v>
      </c>
      <c r="V173" t="str">
        <f t="shared" si="55"/>
        <v>$('#FLG_TA').val($('#FLG_TA').is(':checked'));</v>
      </c>
      <c r="W173" t="str">
        <f t="shared" si="56"/>
        <v>$('#FLG_TA').prop('checked','&lt;#if FLG_TA?exists &amp;&amp; FLG_TA!=''&gt;${FLG_TA}&lt;#else&gt;true&lt;/#if&gt;'==='true')</v>
      </c>
      <c r="X173" t="str">
        <f t="shared" si="57"/>
        <v>addNoStringField(FLG_TA, Boolean.class);</v>
      </c>
    </row>
    <row r="174" spans="1:24" x14ac:dyDescent="0.25">
      <c r="A174" s="1" t="s">
        <v>184</v>
      </c>
      <c r="B174" t="str">
        <f t="shared" si="46"/>
        <v>,"Anno_TA"</v>
      </c>
      <c r="C174" s="1"/>
      <c r="D174" s="1" t="s">
        <v>396</v>
      </c>
      <c r="E174" t="s">
        <v>185</v>
      </c>
      <c r="F174" t="s">
        <v>88</v>
      </c>
      <c r="G174">
        <v>0</v>
      </c>
      <c r="K174" t="str">
        <f t="shared" si="47"/>
        <v xml:space="preserve">integer DEFAULT 0   </v>
      </c>
      <c r="L174" t="s">
        <v>406</v>
      </c>
      <c r="M174" t="str">
        <f t="shared" si="51"/>
        <v>ANNO_TA</v>
      </c>
      <c r="N174" t="s">
        <v>240</v>
      </c>
      <c r="O174" t="str">
        <f t="shared" si="52"/>
        <v>ALTER TABLE TEMP_PDL RENAME "Anno_TA" TO ANNO_TA;</v>
      </c>
      <c r="P174" t="str">
        <f t="shared" si="48"/>
        <v>ALTER TABLE PDL ADD COLUMN ANNO_TA integer DEFAULT 0   ;</v>
      </c>
      <c r="Q174" t="str">
        <f t="shared" si="49"/>
        <v>ANNO_TA,</v>
      </c>
      <c r="R174" t="str">
        <f t="shared" si="50"/>
        <v>public static final String  ANNO_TA = "ANNO_TA";</v>
      </c>
      <c r="S174" t="str">
        <f t="shared" si="53"/>
        <v/>
      </c>
      <c r="T174" t="str">
        <f t="shared" si="54"/>
        <v>$('#ANNO_TA').val('&lt;#if ANNO_TA?exists&gt;${ANNO_TA}&lt;/#if&gt;')</v>
      </c>
      <c r="U174" t="str">
        <f t="shared" si="38"/>
        <v/>
      </c>
      <c r="V174" t="str">
        <f t="shared" si="55"/>
        <v/>
      </c>
      <c r="W174" t="str">
        <f t="shared" si="56"/>
        <v/>
      </c>
      <c r="X174" t="str">
        <f t="shared" si="57"/>
        <v/>
      </c>
    </row>
    <row r="175" spans="1:24" x14ac:dyDescent="0.25">
      <c r="A175" s="1" t="s">
        <v>186</v>
      </c>
      <c r="B175" t="str">
        <f t="shared" si="46"/>
        <v>,"Data attivo"</v>
      </c>
      <c r="C175" s="1"/>
      <c r="D175" s="1" t="s">
        <v>396</v>
      </c>
      <c r="E175" t="s">
        <v>127</v>
      </c>
      <c r="F175" t="s">
        <v>128</v>
      </c>
      <c r="G175" t="s">
        <v>129</v>
      </c>
      <c r="H175" t="s">
        <v>174</v>
      </c>
      <c r="K175" t="str">
        <f t="shared" si="47"/>
        <v xml:space="preserve">timestamp without time zone,  </v>
      </c>
      <c r="L175" t="s">
        <v>405</v>
      </c>
      <c r="M175" t="str">
        <f t="shared" si="51"/>
        <v>DATA_ATTIVO</v>
      </c>
      <c r="N175" t="s">
        <v>241</v>
      </c>
      <c r="O175" t="str">
        <f t="shared" si="52"/>
        <v>ALTER TABLE TEMP_PDL RENAME "Data attivo" TO DATA_ATTIVO;</v>
      </c>
      <c r="P175" t="str">
        <f t="shared" si="48"/>
        <v>ALTER TABLE PDL ADD COLUMN DATA_ATTIVO timestamp without time zone  ;</v>
      </c>
      <c r="Q175" t="str">
        <f t="shared" si="49"/>
        <v>DATA_ATTIVO,</v>
      </c>
      <c r="R175" t="str">
        <f t="shared" si="50"/>
        <v>public static final String  DATA_ATTIVO = "DATA_ATTIVO";</v>
      </c>
      <c r="S175" t="str">
        <f t="shared" si="53"/>
        <v>addNoStringField(DATA_ATTIVO, Timestamp.class);</v>
      </c>
      <c r="T175" t="str">
        <f t="shared" si="54"/>
        <v>$('#DATA_ATTIVO').val('&lt;#if DATA_ATTIVO?exists&gt;${DATA_ATTIVO}&lt;/#if&gt;')</v>
      </c>
      <c r="U175" t="str">
        <f t="shared" si="38"/>
        <v/>
      </c>
      <c r="V175" t="str">
        <f t="shared" si="55"/>
        <v/>
      </c>
      <c r="W175" t="str">
        <f t="shared" si="56"/>
        <v/>
      </c>
      <c r="X175" t="str">
        <f t="shared" si="57"/>
        <v/>
      </c>
    </row>
    <row r="176" spans="1:24" x14ac:dyDescent="0.25">
      <c r="A176" s="1" t="s">
        <v>187</v>
      </c>
      <c r="B176" t="str">
        <f t="shared" si="46"/>
        <v>,"Ora attivo"</v>
      </c>
      <c r="C176" s="1"/>
      <c r="D176" s="1" t="s">
        <v>396</v>
      </c>
      <c r="E176" t="s">
        <v>127</v>
      </c>
      <c r="F176" t="s">
        <v>128</v>
      </c>
      <c r="G176" t="s">
        <v>129</v>
      </c>
      <c r="H176" t="s">
        <v>174</v>
      </c>
      <c r="K176" t="str">
        <f t="shared" si="47"/>
        <v xml:space="preserve">timestamp without time zone,  </v>
      </c>
      <c r="L176" t="s">
        <v>405</v>
      </c>
      <c r="M176" t="str">
        <f t="shared" si="51"/>
        <v>ORA_ATTIVO</v>
      </c>
      <c r="N176" t="s">
        <v>242</v>
      </c>
      <c r="O176" t="str">
        <f t="shared" si="52"/>
        <v>ALTER TABLE TEMP_PDL RENAME "Ora attivo" TO ORA_ATTIVO;</v>
      </c>
      <c r="P176" t="str">
        <f t="shared" si="48"/>
        <v>ALTER TABLE PDL ADD COLUMN ORA_ATTIVO timestamp without time zone  ;</v>
      </c>
      <c r="Q176" t="str">
        <f t="shared" si="49"/>
        <v>ORA_ATTIVO,</v>
      </c>
      <c r="R176" t="str">
        <f t="shared" si="50"/>
        <v>public static final String  ORA_ATTIVO = "ORA_ATTIVO";</v>
      </c>
      <c r="S176" t="str">
        <f t="shared" si="53"/>
        <v>addNoStringField(ORA_ATTIVO, Timestamp.class);</v>
      </c>
      <c r="T176" t="str">
        <f t="shared" si="54"/>
        <v>$('#ORA_ATTIVO').val('&lt;#if ORA_ATTIVO?exists&gt;${ORA_ATTIVO}&lt;/#if&gt;')</v>
      </c>
      <c r="U176" t="str">
        <f t="shared" si="38"/>
        <v/>
      </c>
      <c r="V176" t="str">
        <f t="shared" si="55"/>
        <v/>
      </c>
      <c r="W176" t="str">
        <f t="shared" si="56"/>
        <v/>
      </c>
      <c r="X176" t="str">
        <f t="shared" si="57"/>
        <v/>
      </c>
    </row>
    <row r="177" spans="1:24" x14ac:dyDescent="0.25">
      <c r="A177" s="1" t="s">
        <v>188</v>
      </c>
      <c r="B177" t="str">
        <f t="shared" si="46"/>
        <v>,"Ora chiusura"</v>
      </c>
      <c r="C177" s="1"/>
      <c r="D177" s="1" t="s">
        <v>396</v>
      </c>
      <c r="E177" t="s">
        <v>127</v>
      </c>
      <c r="F177" t="s">
        <v>128</v>
      </c>
      <c r="G177" t="s">
        <v>129</v>
      </c>
      <c r="H177" t="s">
        <v>174</v>
      </c>
      <c r="K177" t="str">
        <f t="shared" si="47"/>
        <v xml:space="preserve">timestamp without time zone,  </v>
      </c>
      <c r="L177" t="s">
        <v>405</v>
      </c>
      <c r="M177" t="str">
        <f t="shared" si="51"/>
        <v>ORA_CHIUSURA</v>
      </c>
      <c r="N177" t="s">
        <v>243</v>
      </c>
      <c r="O177" t="str">
        <f t="shared" si="52"/>
        <v>ALTER TABLE TEMP_PDL RENAME "Ora chiusura" TO ORA_CHIUSURA;</v>
      </c>
      <c r="P177" t="str">
        <f t="shared" si="48"/>
        <v>ALTER TABLE PDL ADD COLUMN ORA_CHIUSURA timestamp without time zone  ;</v>
      </c>
      <c r="Q177" t="str">
        <f t="shared" si="49"/>
        <v>ORA_CHIUSURA,</v>
      </c>
      <c r="R177" t="str">
        <f t="shared" si="50"/>
        <v>public static final String  ORA_CHIUSURA = "ORA_CHIUSURA";</v>
      </c>
      <c r="S177" t="str">
        <f t="shared" si="53"/>
        <v>addNoStringField(ORA_CHIUSURA, Timestamp.class);</v>
      </c>
      <c r="T177" t="str">
        <f t="shared" si="54"/>
        <v>$('#ORA_CHIUSURA').val('&lt;#if ORA_CHIUSURA?exists&gt;${ORA_CHIUSURA}&lt;/#if&gt;')</v>
      </c>
      <c r="U177" t="str">
        <f t="shared" si="38"/>
        <v/>
      </c>
      <c r="V177" t="str">
        <f t="shared" si="55"/>
        <v/>
      </c>
      <c r="W177" t="str">
        <f t="shared" si="56"/>
        <v/>
      </c>
      <c r="X177" t="str">
        <f t="shared" si="57"/>
        <v/>
      </c>
    </row>
    <row r="178" spans="1:24" x14ac:dyDescent="0.25">
      <c r="A178" s="1" t="s">
        <v>189</v>
      </c>
      <c r="B178" t="str">
        <f t="shared" si="46"/>
        <v>,"Posizione in planimteria"</v>
      </c>
      <c r="C178" s="1"/>
      <c r="D178" s="1" t="s">
        <v>396</v>
      </c>
      <c r="E178" t="s">
        <v>0</v>
      </c>
      <c r="F178" t="s">
        <v>23</v>
      </c>
      <c r="K178" t="str">
        <f t="shared" si="47"/>
        <v xml:space="preserve">character varying(255),    </v>
      </c>
      <c r="L178" t="s">
        <v>399</v>
      </c>
      <c r="M178" t="str">
        <f t="shared" si="51"/>
        <v>POSIZIONE_IN_PLANIMTERIA</v>
      </c>
      <c r="N178" t="s">
        <v>244</v>
      </c>
      <c r="O178" t="str">
        <f t="shared" si="52"/>
        <v>ALTER TABLE TEMP_PDL RENAME "Posizione in planimteria" TO POSIZIONE_IN_PLANIMTERIA;</v>
      </c>
      <c r="P178" t="str">
        <f t="shared" si="48"/>
        <v>ALTER TABLE PDL ADD COLUMN POSIZIONE_IN_PLANIMTERIA character varying(255)    ;</v>
      </c>
      <c r="Q178" t="str">
        <f t="shared" si="49"/>
        <v>POSIZIONE_IN_PLANIMTERIA,</v>
      </c>
      <c r="R178" t="str">
        <f t="shared" si="50"/>
        <v>public static final String  POSIZIONE_IN_PLANIMTERIA = "POSIZIONE_IN_PLANIMTERIA";</v>
      </c>
      <c r="S178" t="str">
        <f t="shared" si="53"/>
        <v/>
      </c>
      <c r="T178" t="str">
        <f t="shared" si="54"/>
        <v>$('#POSIZIONE_IN_PLANIMTERIA').val('&lt;#if POSIZIONE_IN_PLANIMTERIA?exists&gt;${POSIZIONE_IN_PLANIMTERIA}&lt;/#if&gt;')</v>
      </c>
      <c r="U178" t="str">
        <f t="shared" si="38"/>
        <v/>
      </c>
      <c r="V178" t="str">
        <f t="shared" si="55"/>
        <v/>
      </c>
      <c r="W178" t="str">
        <f t="shared" si="56"/>
        <v/>
      </c>
      <c r="X178" t="str">
        <f t="shared" si="57"/>
        <v/>
      </c>
    </row>
    <row r="179" spans="1:24" x14ac:dyDescent="0.25">
      <c r="A179" s="1" t="s">
        <v>190</v>
      </c>
      <c r="B179" t="str">
        <f t="shared" si="46"/>
        <v>,"Stampa_turno"</v>
      </c>
      <c r="C179" s="1"/>
      <c r="D179" s="1" t="s">
        <v>396</v>
      </c>
      <c r="E179" t="s">
        <v>87</v>
      </c>
      <c r="F179" t="s">
        <v>88</v>
      </c>
      <c r="G179" t="s">
        <v>104</v>
      </c>
      <c r="K179" t="str">
        <f t="shared" si="47"/>
        <v xml:space="preserve">boolean DEFAULT false,   </v>
      </c>
      <c r="L179" t="s">
        <v>402</v>
      </c>
      <c r="M179" t="str">
        <f t="shared" si="51"/>
        <v>FLG_STAMPA_TURNO</v>
      </c>
      <c r="N179" t="s">
        <v>384</v>
      </c>
      <c r="O179" t="str">
        <f t="shared" si="52"/>
        <v>ALTER TABLE TEMP_PDL RENAME "Stampa_turno" TO FLG_STAMPA_TURNO;</v>
      </c>
      <c r="P179" t="str">
        <f t="shared" si="48"/>
        <v>ALTER TABLE PDL ADD COLUMN FLG_STAMPA_TURNO boolean DEFAULT false   ;</v>
      </c>
      <c r="Q179" t="str">
        <f t="shared" si="49"/>
        <v>FLG_STAMPA_TURNO,</v>
      </c>
      <c r="R179" t="str">
        <f t="shared" si="50"/>
        <v>public static final String  FLG_STAMPA_TURNO = "FLG_STAMPA_TURNO";</v>
      </c>
      <c r="S179" t="str">
        <f t="shared" si="53"/>
        <v/>
      </c>
      <c r="T179" t="str">
        <f t="shared" si="54"/>
        <v/>
      </c>
      <c r="U179" t="str">
        <f t="shared" si="38"/>
        <v xml:space="preserve"> id='FLG_STAMPA_TURNO' name='FLG_STAMPA_TURNO'</v>
      </c>
      <c r="V179" t="str">
        <f t="shared" si="55"/>
        <v>$('#FLG_STAMPA_TURNO').val($('#FLG_STAMPA_TURNO').is(':checked'));</v>
      </c>
      <c r="W179" t="str">
        <f t="shared" si="56"/>
        <v>$('#FLG_STAMPA_TURNO').prop('checked','&lt;#if FLG_STAMPA_TURNO?exists &amp;&amp; FLG_STAMPA_TURNO!=''&gt;${FLG_STAMPA_TURNO}&lt;#else&gt;true&lt;/#if&gt;'==='true')</v>
      </c>
      <c r="X179" t="str">
        <f t="shared" si="57"/>
        <v>addNoStringField(FLG_STAMPA_TURNO, Boolean.class);</v>
      </c>
    </row>
    <row r="180" spans="1:24" x14ac:dyDescent="0.25">
      <c r="A180" s="1" t="s">
        <v>191</v>
      </c>
      <c r="B180" t="str">
        <f t="shared" si="46"/>
        <v>,"Cod_MOD70"</v>
      </c>
      <c r="C180" s="1"/>
      <c r="D180" s="1" t="s">
        <v>396</v>
      </c>
      <c r="E180" t="s">
        <v>0</v>
      </c>
      <c r="F180" t="s">
        <v>23</v>
      </c>
      <c r="K180" t="str">
        <f t="shared" si="47"/>
        <v xml:space="preserve">character varying(255),    </v>
      </c>
      <c r="L180" t="s">
        <v>399</v>
      </c>
      <c r="M180" t="str">
        <f t="shared" si="51"/>
        <v>COD_MOD70</v>
      </c>
      <c r="N180" t="s">
        <v>245</v>
      </c>
      <c r="O180" t="str">
        <f t="shared" si="52"/>
        <v>ALTER TABLE TEMP_PDL RENAME "Cod_MOD70" TO COD_MOD70;</v>
      </c>
      <c r="P180" t="str">
        <f t="shared" si="48"/>
        <v>ALTER TABLE PDL ADD COLUMN COD_MOD70 character varying(255)    ;</v>
      </c>
      <c r="Q180" t="str">
        <f t="shared" si="49"/>
        <v>COD_MOD70,</v>
      </c>
      <c r="R180" t="str">
        <f t="shared" si="50"/>
        <v>public static final String  COD_MOD70 = "COD_MOD70";</v>
      </c>
      <c r="S180" t="str">
        <f t="shared" si="53"/>
        <v/>
      </c>
      <c r="T180" t="str">
        <f t="shared" si="54"/>
        <v>$('#COD_MOD70').val('&lt;#if COD_MOD70?exists&gt;${COD_MOD70}&lt;/#if&gt;')</v>
      </c>
      <c r="U180" t="str">
        <f t="shared" si="38"/>
        <v/>
      </c>
      <c r="V180" t="str">
        <f t="shared" si="55"/>
        <v/>
      </c>
      <c r="W180" t="str">
        <f t="shared" si="56"/>
        <v/>
      </c>
      <c r="X180" t="str">
        <f t="shared" si="57"/>
        <v/>
      </c>
    </row>
    <row r="181" spans="1:24" x14ac:dyDescent="0.25">
      <c r="A181" s="1" t="s">
        <v>192</v>
      </c>
      <c r="B181" t="str">
        <f t="shared" si="46"/>
        <v>,"Comp_MOD70"</v>
      </c>
      <c r="C181" s="1"/>
      <c r="D181" s="1" t="s">
        <v>396</v>
      </c>
      <c r="E181" t="s">
        <v>87</v>
      </c>
      <c r="F181" t="s">
        <v>88</v>
      </c>
      <c r="G181" t="s">
        <v>104</v>
      </c>
      <c r="K181" t="str">
        <f t="shared" si="47"/>
        <v xml:space="preserve">boolean DEFAULT false,   </v>
      </c>
      <c r="L181" t="s">
        <v>402</v>
      </c>
      <c r="M181" t="str">
        <f t="shared" si="51"/>
        <v>FLG_COMP_MOD70</v>
      </c>
      <c r="N181" t="s">
        <v>385</v>
      </c>
      <c r="O181" t="str">
        <f t="shared" si="52"/>
        <v>ALTER TABLE TEMP_PDL RENAME "Comp_MOD70" TO FLG_COMP_MOD70;</v>
      </c>
      <c r="P181" t="str">
        <f t="shared" si="48"/>
        <v>ALTER TABLE PDL ADD COLUMN FLG_COMP_MOD70 boolean DEFAULT false   ;</v>
      </c>
      <c r="Q181" t="str">
        <f t="shared" si="49"/>
        <v>FLG_COMP_MOD70,</v>
      </c>
      <c r="R181" t="str">
        <f t="shared" si="50"/>
        <v>public static final String  FLG_COMP_MOD70 = "FLG_COMP_MOD70";</v>
      </c>
      <c r="S181" t="str">
        <f t="shared" si="53"/>
        <v/>
      </c>
      <c r="T181" t="str">
        <f t="shared" si="54"/>
        <v/>
      </c>
      <c r="U181" t="str">
        <f t="shared" si="38"/>
        <v xml:space="preserve"> id='FLG_COMP_MOD70' name='FLG_COMP_MOD70'</v>
      </c>
      <c r="V181" t="str">
        <f t="shared" si="55"/>
        <v>$('#FLG_COMP_MOD70').val($('#FLG_COMP_MOD70').is(':checked'));</v>
      </c>
      <c r="W181" t="str">
        <f t="shared" si="56"/>
        <v>$('#FLG_COMP_MOD70').prop('checked','&lt;#if FLG_COMP_MOD70?exists &amp;&amp; FLG_COMP_MOD70!=''&gt;${FLG_COMP_MOD70}&lt;#else&gt;true&lt;/#if&gt;'==='true')</v>
      </c>
      <c r="X181" t="str">
        <f t="shared" si="57"/>
        <v>addNoStringField(FLG_COMP_MOD70, Boolean.class);</v>
      </c>
    </row>
    <row r="182" spans="1:24" x14ac:dyDescent="0.25">
      <c r="A182" s="1" t="s">
        <v>193</v>
      </c>
      <c r="B182" t="str">
        <f t="shared" si="46"/>
        <v>,"Valuta_interferenza"</v>
      </c>
      <c r="C182" s="1"/>
      <c r="D182" s="1" t="s">
        <v>396</v>
      </c>
      <c r="E182" t="s">
        <v>87</v>
      </c>
      <c r="F182" t="s">
        <v>88</v>
      </c>
      <c r="G182" t="s">
        <v>104</v>
      </c>
      <c r="K182" t="str">
        <f t="shared" si="47"/>
        <v xml:space="preserve">boolean DEFAULT false,   </v>
      </c>
      <c r="L182" t="s">
        <v>402</v>
      </c>
      <c r="M182" t="str">
        <f t="shared" si="51"/>
        <v>FLG_VALUTA_INTERFERENZA</v>
      </c>
      <c r="N182" t="s">
        <v>386</v>
      </c>
      <c r="O182" t="str">
        <f t="shared" si="52"/>
        <v>ALTER TABLE TEMP_PDL RENAME "Valuta_interferenza" TO FLG_VALUTA_INTERFERENZA;</v>
      </c>
      <c r="P182" t="str">
        <f t="shared" si="48"/>
        <v>ALTER TABLE PDL ADD COLUMN FLG_VALUTA_INTERFERENZA boolean DEFAULT false   ;</v>
      </c>
      <c r="Q182" t="str">
        <f t="shared" si="49"/>
        <v>FLG_VALUTA_INTERFERENZA,</v>
      </c>
      <c r="R182" t="str">
        <f t="shared" si="50"/>
        <v>public static final String  FLG_VALUTA_INTERFERENZA = "FLG_VALUTA_INTERFERENZA";</v>
      </c>
      <c r="S182" t="str">
        <f t="shared" si="53"/>
        <v/>
      </c>
      <c r="T182" t="str">
        <f t="shared" si="54"/>
        <v/>
      </c>
      <c r="U182" t="str">
        <f t="shared" si="38"/>
        <v xml:space="preserve"> id='FLG_VALUTA_INTERFERENZA' name='FLG_VALUTA_INTERFERENZA'</v>
      </c>
      <c r="V182" t="str">
        <f t="shared" si="55"/>
        <v>$('#FLG_VALUTA_INTERFERENZA').val($('#FLG_VALUTA_INTERFERENZA').is(':checked'));</v>
      </c>
      <c r="W182" t="str">
        <f t="shared" si="56"/>
        <v>$('#FLG_VALUTA_INTERFERENZA').prop('checked','&lt;#if FLG_VALUTA_INTERFERENZA?exists &amp;&amp; FLG_VALUTA_INTERFERENZA!=''&gt;${FLG_VALUTA_INTERFERENZA}&lt;#else&gt;true&lt;/#if&gt;'==='true')</v>
      </c>
      <c r="X182" t="str">
        <f t="shared" si="57"/>
        <v>addNoStringField(FLG_VALUTA_INTERFERENZA, Boolean.class);</v>
      </c>
    </row>
    <row r="183" spans="1:24" x14ac:dyDescent="0.25">
      <c r="A183" s="1" t="s">
        <v>194</v>
      </c>
      <c r="B183" t="str">
        <f t="shared" si="46"/>
        <v>,"Prima_valutazione"</v>
      </c>
      <c r="C183" s="1"/>
      <c r="D183" s="1" t="s">
        <v>396</v>
      </c>
      <c r="E183" t="s">
        <v>87</v>
      </c>
      <c r="F183" t="s">
        <v>88</v>
      </c>
      <c r="G183" t="s">
        <v>104</v>
      </c>
      <c r="K183" t="str">
        <f t="shared" si="47"/>
        <v xml:space="preserve">boolean DEFAULT false,   </v>
      </c>
      <c r="L183" t="s">
        <v>402</v>
      </c>
      <c r="M183" t="str">
        <f t="shared" si="51"/>
        <v>FLG_PRIMA_VALUTAZIONE</v>
      </c>
      <c r="N183" t="s">
        <v>387</v>
      </c>
      <c r="O183" t="str">
        <f t="shared" si="52"/>
        <v>ALTER TABLE TEMP_PDL RENAME "Prima_valutazione" TO FLG_PRIMA_VALUTAZIONE;</v>
      </c>
      <c r="P183" t="str">
        <f t="shared" si="48"/>
        <v>ALTER TABLE PDL ADD COLUMN FLG_PRIMA_VALUTAZIONE boolean DEFAULT false   ;</v>
      </c>
      <c r="Q183" t="str">
        <f t="shared" si="49"/>
        <v>FLG_PRIMA_VALUTAZIONE,</v>
      </c>
      <c r="R183" t="str">
        <f t="shared" si="50"/>
        <v>public static final String  FLG_PRIMA_VALUTAZIONE = "FLG_PRIMA_VALUTAZIONE";</v>
      </c>
      <c r="S183" t="str">
        <f t="shared" si="53"/>
        <v/>
      </c>
      <c r="T183" t="str">
        <f t="shared" si="54"/>
        <v/>
      </c>
      <c r="U183" t="str">
        <f t="shared" si="38"/>
        <v xml:space="preserve"> id='FLG_PRIMA_VALUTAZIONE' name='FLG_PRIMA_VALUTAZIONE'</v>
      </c>
      <c r="V183" t="str">
        <f t="shared" si="55"/>
        <v>$('#FLG_PRIMA_VALUTAZIONE').val($('#FLG_PRIMA_VALUTAZIONE').is(':checked'));</v>
      </c>
      <c r="W183" t="str">
        <f t="shared" si="56"/>
        <v>$('#FLG_PRIMA_VALUTAZIONE').prop('checked','&lt;#if FLG_PRIMA_VALUTAZIONE?exists &amp;&amp; FLG_PRIMA_VALUTAZIONE!=''&gt;${FLG_PRIMA_VALUTAZIONE}&lt;#else&gt;true&lt;/#if&gt;'==='true')</v>
      </c>
      <c r="X183" t="str">
        <f t="shared" si="57"/>
        <v>addNoStringField(FLG_PRIMA_VALUTAZIONE, Boolean.class);</v>
      </c>
    </row>
    <row r="184" spans="1:24" x14ac:dyDescent="0.25">
      <c r="A184" s="1" t="s">
        <v>195</v>
      </c>
      <c r="B184" t="str">
        <f t="shared" si="46"/>
        <v>,"Successiva_valutazione"</v>
      </c>
      <c r="C184" s="1"/>
      <c r="D184" s="1" t="s">
        <v>396</v>
      </c>
      <c r="E184" t="s">
        <v>87</v>
      </c>
      <c r="F184" t="s">
        <v>88</v>
      </c>
      <c r="G184" t="s">
        <v>104</v>
      </c>
      <c r="K184" t="str">
        <f t="shared" si="47"/>
        <v xml:space="preserve">boolean DEFAULT false,   </v>
      </c>
      <c r="L184" t="s">
        <v>402</v>
      </c>
      <c r="M184" t="str">
        <f t="shared" si="51"/>
        <v>FLG_SUCCESSIVA_VALUTAZIONE</v>
      </c>
      <c r="N184" t="s">
        <v>388</v>
      </c>
      <c r="O184" t="str">
        <f t="shared" si="52"/>
        <v>ALTER TABLE TEMP_PDL RENAME "Successiva_valutazione" TO FLG_SUCCESSIVA_VALUTAZIONE;</v>
      </c>
      <c r="P184" t="str">
        <f t="shared" si="48"/>
        <v>ALTER TABLE PDL ADD COLUMN FLG_SUCCESSIVA_VALUTAZIONE boolean DEFAULT false   ;</v>
      </c>
      <c r="Q184" t="str">
        <f t="shared" si="49"/>
        <v>FLG_SUCCESSIVA_VALUTAZIONE,</v>
      </c>
      <c r="R184" t="str">
        <f t="shared" si="50"/>
        <v>public static final String  FLG_SUCCESSIVA_VALUTAZIONE = "FLG_SUCCESSIVA_VALUTAZIONE";</v>
      </c>
      <c r="S184" t="str">
        <f t="shared" si="53"/>
        <v/>
      </c>
      <c r="T184" t="str">
        <f t="shared" si="54"/>
        <v/>
      </c>
      <c r="U184" t="str">
        <f t="shared" si="38"/>
        <v xml:space="preserve"> id='FLG_SUCCESSIVA_VALUTAZIONE' name='FLG_SUCCESSIVA_VALUTAZIONE'</v>
      </c>
      <c r="V184" t="str">
        <f t="shared" si="55"/>
        <v>$('#FLG_SUCCESSIVA_VALUTAZIONE').val($('#FLG_SUCCESSIVA_VALUTAZIONE').is(':checked'));</v>
      </c>
      <c r="W184" t="str">
        <f t="shared" si="56"/>
        <v>$('#FLG_SUCCESSIVA_VALUTAZIONE').prop('checked','&lt;#if FLG_SUCCESSIVA_VALUTAZIONE?exists &amp;&amp; FLG_SUCCESSIVA_VALUTAZIONE!=''&gt;${FLG_SUCCESSIVA_VALUTAZIONE}&lt;#else&gt;true&lt;/#if&gt;'==='true')</v>
      </c>
      <c r="X184" t="str">
        <f t="shared" si="57"/>
        <v>addNoStringField(FLG_SUCCESSIVA_VALUTAZIONE, Boolean.class);</v>
      </c>
    </row>
    <row r="185" spans="1:24" x14ac:dyDescent="0.25">
      <c r="A185" s="1" t="s">
        <v>196</v>
      </c>
      <c r="B185" t="str">
        <f t="shared" si="46"/>
        <v>,"Distanza_sicurezza_si"</v>
      </c>
      <c r="C185" s="1"/>
      <c r="D185" s="1" t="s">
        <v>396</v>
      </c>
      <c r="E185" t="s">
        <v>87</v>
      </c>
      <c r="F185" t="s">
        <v>88</v>
      </c>
      <c r="G185" t="s">
        <v>104</v>
      </c>
      <c r="K185" t="str">
        <f t="shared" si="47"/>
        <v xml:space="preserve">boolean DEFAULT false,   </v>
      </c>
      <c r="L185" t="s">
        <v>402</v>
      </c>
      <c r="M185" t="str">
        <f t="shared" si="51"/>
        <v>FLG_DISTANZA_SICUREZZA_SI</v>
      </c>
      <c r="N185" t="s">
        <v>389</v>
      </c>
      <c r="O185" t="str">
        <f t="shared" si="52"/>
        <v>ALTER TABLE TEMP_PDL RENAME "Distanza_sicurezza_si" TO FLG_DISTANZA_SICUREZZA_SI;</v>
      </c>
      <c r="P185" t="str">
        <f t="shared" si="48"/>
        <v>ALTER TABLE PDL ADD COLUMN FLG_DISTANZA_SICUREZZA_SI boolean DEFAULT false   ;</v>
      </c>
      <c r="Q185" t="str">
        <f t="shared" si="49"/>
        <v>FLG_DISTANZA_SICUREZZA_SI,</v>
      </c>
      <c r="R185" t="str">
        <f t="shared" si="50"/>
        <v>public static final String  FLG_DISTANZA_SICUREZZA_SI = "FLG_DISTANZA_SICUREZZA_SI";</v>
      </c>
      <c r="S185" t="str">
        <f t="shared" si="53"/>
        <v/>
      </c>
      <c r="T185" t="str">
        <f t="shared" si="54"/>
        <v/>
      </c>
      <c r="U185" t="str">
        <f t="shared" si="38"/>
        <v xml:space="preserve"> id='FLG_DISTANZA_SICUREZZA_SI' name='FLG_DISTANZA_SICUREZZA_SI'</v>
      </c>
      <c r="V185" t="str">
        <f t="shared" si="55"/>
        <v>$('#FLG_DISTANZA_SICUREZZA_SI').val($('#FLG_DISTANZA_SICUREZZA_SI').is(':checked'));</v>
      </c>
      <c r="W185" t="str">
        <f t="shared" si="56"/>
        <v>$('#FLG_DISTANZA_SICUREZZA_SI').prop('checked','&lt;#if FLG_DISTANZA_SICUREZZA_SI?exists &amp;&amp; FLG_DISTANZA_SICUREZZA_SI!=''&gt;${FLG_DISTANZA_SICUREZZA_SI}&lt;#else&gt;true&lt;/#if&gt;'==='true')</v>
      </c>
      <c r="X185" t="str">
        <f t="shared" si="57"/>
        <v>addNoStringField(FLG_DISTANZA_SICUREZZA_SI, Boolean.class);</v>
      </c>
    </row>
    <row r="186" spans="1:24" x14ac:dyDescent="0.25">
      <c r="A186" s="1" t="s">
        <v>197</v>
      </c>
      <c r="B186" t="str">
        <f t="shared" si="46"/>
        <v>,"Distanza_sicurezza_no"</v>
      </c>
      <c r="C186" s="1"/>
      <c r="D186" s="1" t="s">
        <v>396</v>
      </c>
      <c r="E186" t="s">
        <v>87</v>
      </c>
      <c r="F186" t="s">
        <v>88</v>
      </c>
      <c r="G186" t="s">
        <v>104</v>
      </c>
      <c r="K186" t="str">
        <f t="shared" si="47"/>
        <v xml:space="preserve">boolean DEFAULT false,   </v>
      </c>
      <c r="L186" t="s">
        <v>402</v>
      </c>
      <c r="M186" t="str">
        <f t="shared" si="51"/>
        <v>FLG_DISTANZA_SICUREZZA_NO</v>
      </c>
      <c r="N186" t="s">
        <v>390</v>
      </c>
      <c r="O186" t="str">
        <f t="shared" si="52"/>
        <v>ALTER TABLE TEMP_PDL RENAME "Distanza_sicurezza_no" TO FLG_DISTANZA_SICUREZZA_NO;</v>
      </c>
      <c r="P186" t="str">
        <f t="shared" si="48"/>
        <v>ALTER TABLE PDL ADD COLUMN FLG_DISTANZA_SICUREZZA_NO boolean DEFAULT false   ;</v>
      </c>
      <c r="Q186" t="str">
        <f t="shared" si="49"/>
        <v>FLG_DISTANZA_SICUREZZA_NO,</v>
      </c>
      <c r="R186" t="str">
        <f t="shared" si="50"/>
        <v>public static final String  FLG_DISTANZA_SICUREZZA_NO = "FLG_DISTANZA_SICUREZZA_NO";</v>
      </c>
      <c r="S186" t="str">
        <f t="shared" si="53"/>
        <v/>
      </c>
      <c r="T186" t="str">
        <f t="shared" si="54"/>
        <v/>
      </c>
      <c r="U186" t="str">
        <f t="shared" si="38"/>
        <v xml:space="preserve"> id='FLG_DISTANZA_SICUREZZA_NO' name='FLG_DISTANZA_SICUREZZA_NO'</v>
      </c>
      <c r="V186" t="str">
        <f t="shared" si="55"/>
        <v>$('#FLG_DISTANZA_SICUREZZA_NO').val($('#FLG_DISTANZA_SICUREZZA_NO').is(':checked'));</v>
      </c>
      <c r="W186" t="str">
        <f t="shared" si="56"/>
        <v>$('#FLG_DISTANZA_SICUREZZA_NO').prop('checked','&lt;#if FLG_DISTANZA_SICUREZZA_NO?exists &amp;&amp; FLG_DISTANZA_SICUREZZA_NO!=''&gt;${FLG_DISTANZA_SICUREZZA_NO}&lt;#else&gt;true&lt;/#if&gt;'==='true')</v>
      </c>
      <c r="X186" t="str">
        <f t="shared" si="57"/>
        <v>addNoStringField(FLG_DISTANZA_SICUREZZA_NO, Boolean.class);</v>
      </c>
    </row>
    <row r="187" spans="1:24" x14ac:dyDescent="0.25">
      <c r="A187" s="1" t="s">
        <v>198</v>
      </c>
      <c r="B187" t="str">
        <f t="shared" si="46"/>
        <v>,"Coordinatore_MOD70"</v>
      </c>
      <c r="C187" s="1"/>
      <c r="D187" s="1" t="s">
        <v>396</v>
      </c>
      <c r="E187" t="s">
        <v>0</v>
      </c>
      <c r="F187" t="s">
        <v>23</v>
      </c>
      <c r="K187" t="str">
        <f t="shared" si="47"/>
        <v xml:space="preserve">character varying(255),    </v>
      </c>
      <c r="L187" t="s">
        <v>399</v>
      </c>
      <c r="M187" t="str">
        <f t="shared" si="51"/>
        <v>COORDINATORE_MOD70</v>
      </c>
      <c r="N187" t="s">
        <v>246</v>
      </c>
      <c r="O187" t="str">
        <f t="shared" si="52"/>
        <v>ALTER TABLE TEMP_PDL RENAME "Coordinatore_MOD70" TO COORDINATORE_MOD70;</v>
      </c>
      <c r="P187" t="str">
        <f t="shared" si="48"/>
        <v>ALTER TABLE PDL ADD COLUMN COORDINATORE_MOD70 character varying(255)    ;</v>
      </c>
      <c r="Q187" t="str">
        <f t="shared" si="49"/>
        <v>COORDINATORE_MOD70,</v>
      </c>
      <c r="R187" t="str">
        <f t="shared" si="50"/>
        <v>public static final String  COORDINATORE_MOD70 = "COORDINATORE_MOD70";</v>
      </c>
      <c r="S187" t="str">
        <f t="shared" si="53"/>
        <v/>
      </c>
      <c r="T187" t="str">
        <f t="shared" si="54"/>
        <v>$('#COORDINATORE_MOD70').val('&lt;#if COORDINATORE_MOD70?exists&gt;${COORDINATORE_MOD70}&lt;/#if&gt;')</v>
      </c>
      <c r="U187" t="str">
        <f t="shared" si="38"/>
        <v/>
      </c>
      <c r="V187" t="str">
        <f t="shared" si="55"/>
        <v/>
      </c>
      <c r="W187" t="str">
        <f t="shared" si="56"/>
        <v/>
      </c>
      <c r="X187" t="str">
        <f t="shared" si="57"/>
        <v/>
      </c>
    </row>
    <row r="188" spans="1:24" x14ac:dyDescent="0.25">
      <c r="A188" s="1" t="s">
        <v>199</v>
      </c>
      <c r="B188" t="str">
        <f t="shared" si="46"/>
        <v>,"Ora_MOD70"</v>
      </c>
      <c r="C188" s="1"/>
      <c r="D188" s="1" t="s">
        <v>396</v>
      </c>
      <c r="E188" t="s">
        <v>127</v>
      </c>
      <c r="F188" t="s">
        <v>128</v>
      </c>
      <c r="G188" t="s">
        <v>129</v>
      </c>
      <c r="H188" t="s">
        <v>174</v>
      </c>
      <c r="K188" t="str">
        <f t="shared" si="47"/>
        <v xml:space="preserve">timestamp without time zone,  </v>
      </c>
      <c r="L188" t="s">
        <v>405</v>
      </c>
      <c r="M188" t="str">
        <f t="shared" si="51"/>
        <v>ORA_MOD70</v>
      </c>
      <c r="N188" t="s">
        <v>247</v>
      </c>
      <c r="O188" t="str">
        <f t="shared" si="52"/>
        <v>ALTER TABLE TEMP_PDL RENAME "Ora_MOD70" TO ORA_MOD70;</v>
      </c>
      <c r="P188" t="str">
        <f t="shared" si="48"/>
        <v>ALTER TABLE PDL ADD COLUMN ORA_MOD70 timestamp without time zone  ;</v>
      </c>
      <c r="Q188" t="str">
        <f t="shared" si="49"/>
        <v>ORA_MOD70,</v>
      </c>
      <c r="R188" t="str">
        <f t="shared" si="50"/>
        <v>public static final String  ORA_MOD70 = "ORA_MOD70";</v>
      </c>
      <c r="S188" t="str">
        <f t="shared" si="53"/>
        <v>addNoStringField(ORA_MOD70, Timestamp.class);</v>
      </c>
      <c r="T188" t="str">
        <f t="shared" si="54"/>
        <v>$('#ORA_MOD70').val('&lt;#if ORA_MOD70?exists&gt;${ORA_MOD70}&lt;/#if&gt;')</v>
      </c>
      <c r="U188" t="str">
        <f t="shared" si="38"/>
        <v/>
      </c>
      <c r="V188" t="str">
        <f t="shared" si="55"/>
        <v/>
      </c>
      <c r="W188" t="str">
        <f t="shared" si="56"/>
        <v/>
      </c>
      <c r="X188" t="str">
        <f t="shared" si="57"/>
        <v/>
      </c>
    </row>
    <row r="189" spans="1:24" x14ac:dyDescent="0.25">
      <c r="A189" s="1" t="s">
        <v>200</v>
      </c>
      <c r="B189" t="str">
        <f t="shared" si="46"/>
        <v>,"Data_MOD70"</v>
      </c>
      <c r="C189" s="1"/>
      <c r="D189" s="1" t="s">
        <v>396</v>
      </c>
      <c r="E189" t="s">
        <v>127</v>
      </c>
      <c r="F189" t="s">
        <v>128</v>
      </c>
      <c r="G189" t="s">
        <v>129</v>
      </c>
      <c r="H189" t="s">
        <v>174</v>
      </c>
      <c r="K189" t="str">
        <f t="shared" si="47"/>
        <v xml:space="preserve">timestamp without time zone,  </v>
      </c>
      <c r="L189" t="s">
        <v>405</v>
      </c>
      <c r="M189" t="str">
        <f t="shared" si="51"/>
        <v>DATA_MOD70</v>
      </c>
      <c r="N189" t="s">
        <v>248</v>
      </c>
      <c r="O189" t="str">
        <f t="shared" si="52"/>
        <v>ALTER TABLE TEMP_PDL RENAME "Data_MOD70" TO DATA_MOD70;</v>
      </c>
      <c r="P189" t="str">
        <f t="shared" si="48"/>
        <v>ALTER TABLE PDL ADD COLUMN DATA_MOD70 timestamp without time zone  ;</v>
      </c>
      <c r="Q189" t="str">
        <f t="shared" si="49"/>
        <v>DATA_MOD70,</v>
      </c>
      <c r="R189" t="str">
        <f t="shared" si="50"/>
        <v>public static final String  DATA_MOD70 = "DATA_MOD70";</v>
      </c>
      <c r="S189" t="str">
        <f t="shared" si="53"/>
        <v>addNoStringField(DATA_MOD70, Timestamp.class);</v>
      </c>
      <c r="T189" t="str">
        <f t="shared" si="54"/>
        <v>$('#DATA_MOD70').val('&lt;#if DATA_MOD70?exists&gt;${DATA_MOD70}&lt;/#if&gt;')</v>
      </c>
      <c r="U189" t="str">
        <f t="shared" si="38"/>
        <v/>
      </c>
      <c r="V189" t="str">
        <f t="shared" si="55"/>
        <v/>
      </c>
      <c r="W189" t="str">
        <f t="shared" si="56"/>
        <v/>
      </c>
      <c r="X189" t="str">
        <f t="shared" si="57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conversioni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2017-12-29T06:28:55Z</dcterms:created>
  <dcterms:modified xsi:type="dcterms:W3CDTF">2018-01-13T08:05:07Z</dcterms:modified>
</cp:coreProperties>
</file>